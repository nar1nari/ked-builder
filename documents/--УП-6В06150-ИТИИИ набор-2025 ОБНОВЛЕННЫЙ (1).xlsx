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4.1\public\ОПиОУП\Документы набора 2025 года\Учебные планы\"/>
    </mc:Choice>
  </mc:AlternateContent>
  <xr:revisionPtr revIDLastSave="0" documentId="13_ncr:1_{9040080E-AB6B-4026-9420-CDEB4C5B3E9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DSheet" sheetId="1" r:id="rId1"/>
  </sheets>
  <definedNames>
    <definedName name="_xlnm.Print_Titles" localSheetId="0">TDSheet!$5:$6</definedName>
    <definedName name="_xlnm.Print_Area" localSheetId="0">TDSheet!$A$1:$L$99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91" i="1" l="1"/>
  <c r="F82" i="1"/>
  <c r="G82" i="1"/>
  <c r="H82" i="1"/>
  <c r="I82" i="1"/>
  <c r="J82" i="1"/>
  <c r="K82" i="1"/>
  <c r="F91" i="1"/>
  <c r="G91" i="1"/>
  <c r="H91" i="1"/>
  <c r="I91" i="1"/>
  <c r="J91" i="1"/>
  <c r="K91" i="1"/>
  <c r="F90" i="1"/>
  <c r="G90" i="1"/>
  <c r="H90" i="1"/>
  <c r="I90" i="1"/>
  <c r="J90" i="1"/>
  <c r="K90" i="1"/>
  <c r="E90" i="1"/>
  <c r="K89" i="1"/>
  <c r="E82" i="1"/>
  <c r="E91" i="1" l="1"/>
  <c r="K81" i="1"/>
  <c r="L92" i="1"/>
  <c r="K35" i="1"/>
  <c r="M91" i="1" l="1"/>
  <c r="K80" i="1"/>
  <c r="K79" i="1"/>
  <c r="K77" i="1"/>
  <c r="K76" i="1"/>
  <c r="K75" i="1"/>
  <c r="J71" i="1"/>
  <c r="I71" i="1"/>
  <c r="H71" i="1"/>
  <c r="G71" i="1"/>
  <c r="F71" i="1"/>
  <c r="E71" i="1"/>
  <c r="K70" i="1"/>
  <c r="K69" i="1"/>
  <c r="K68" i="1"/>
  <c r="K67" i="1"/>
  <c r="K65" i="1"/>
  <c r="J62" i="1"/>
  <c r="I62" i="1"/>
  <c r="H62" i="1"/>
  <c r="G62" i="1"/>
  <c r="F62" i="1"/>
  <c r="E62" i="1"/>
  <c r="K61" i="1"/>
  <c r="K60" i="1"/>
  <c r="K59" i="1"/>
  <c r="K57" i="1"/>
  <c r="K55" i="1"/>
  <c r="K54" i="1"/>
  <c r="J50" i="1"/>
  <c r="I50" i="1"/>
  <c r="H50" i="1"/>
  <c r="G50" i="1"/>
  <c r="F50" i="1"/>
  <c r="E50" i="1"/>
  <c r="K49" i="1"/>
  <c r="K48" i="1"/>
  <c r="K47" i="1"/>
  <c r="K46" i="1"/>
  <c r="K45" i="1"/>
  <c r="K44" i="1"/>
  <c r="K43" i="1"/>
  <c r="J41" i="1"/>
  <c r="I41" i="1"/>
  <c r="H41" i="1"/>
  <c r="G41" i="1"/>
  <c r="F41" i="1"/>
  <c r="E41" i="1"/>
  <c r="K40" i="1"/>
  <c r="K39" i="1"/>
  <c r="K38" i="1"/>
  <c r="K37" i="1"/>
  <c r="K36" i="1"/>
  <c r="K33" i="1"/>
  <c r="K29" i="1"/>
  <c r="J29" i="1"/>
  <c r="I29" i="1"/>
  <c r="H29" i="1"/>
  <c r="G29" i="1"/>
  <c r="F29" i="1"/>
  <c r="E29" i="1"/>
  <c r="K20" i="1"/>
  <c r="J20" i="1"/>
  <c r="I20" i="1"/>
  <c r="H20" i="1"/>
  <c r="G20" i="1"/>
  <c r="F20" i="1"/>
  <c r="E20" i="1"/>
  <c r="H30" i="1" l="1"/>
  <c r="J30" i="1"/>
  <c r="K62" i="1"/>
  <c r="E72" i="1"/>
  <c r="G72" i="1"/>
  <c r="I72" i="1"/>
  <c r="K71" i="1"/>
  <c r="G30" i="1"/>
  <c r="I30" i="1"/>
  <c r="K30" i="1"/>
  <c r="E51" i="1"/>
  <c r="G51" i="1"/>
  <c r="I51" i="1"/>
  <c r="K50" i="1"/>
  <c r="H51" i="1"/>
  <c r="J51" i="1"/>
  <c r="F72" i="1"/>
  <c r="H72" i="1"/>
  <c r="J72" i="1"/>
  <c r="G92" i="1"/>
  <c r="F30" i="1"/>
  <c r="E30" i="1"/>
  <c r="K41" i="1"/>
  <c r="F51" i="1"/>
  <c r="K72" i="1" l="1"/>
  <c r="K51" i="1"/>
  <c r="K92" i="1" s="1"/>
  <c r="J92" i="1"/>
  <c r="H92" i="1"/>
  <c r="E92" i="1"/>
  <c r="I92" i="1"/>
  <c r="F92" i="1"/>
  <c r="M9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D19" authorId="0" shapeId="0" xr:uid="{00000000-0006-0000-0000-000001000000}">
      <text>
        <r>
          <rPr>
            <sz val="8"/>
            <color rgb="FF000000"/>
            <rFont val="Arial"/>
          </rPr>
          <t xml:space="preserve">Теория алгоритмов
</t>
        </r>
      </text>
    </comment>
    <comment ref="D27" authorId="0" shapeId="0" xr:uid="{00000000-0006-0000-0000-000002000000}">
      <text>
        <r>
          <rPr>
            <sz val="8"/>
            <color rgb="FF000000"/>
            <rFont val="Arial"/>
          </rPr>
          <t xml:space="preserve">Основы Python
</t>
        </r>
      </text>
    </comment>
    <comment ref="D45" authorId="0" shapeId="0" xr:uid="{00000000-0006-0000-0000-000003000000}">
      <text>
        <r>
          <rPr>
            <sz val="8"/>
            <color rgb="FF000000"/>
            <rFont val="Arial"/>
          </rPr>
          <t>ИБиЗИ</t>
        </r>
      </text>
    </comment>
    <comment ref="D60" authorId="0" shapeId="0" xr:uid="{00000000-0006-0000-0000-000004000000}">
      <text>
        <r>
          <rPr>
            <sz val="8"/>
            <color rgb="FF000000"/>
            <rFont val="Arial"/>
          </rPr>
          <t xml:space="preserve">ОО ЯП
</t>
        </r>
      </text>
    </comment>
    <comment ref="D64" authorId="0" shapeId="0" xr:uid="{00000000-0006-0000-0000-000005000000}">
      <text>
        <r>
          <rPr>
            <sz val="8"/>
            <color rgb="FF000000"/>
            <rFont val="Arial"/>
          </rPr>
          <t xml:space="preserve">Языки и технологии программирования
</t>
        </r>
      </text>
    </comment>
    <comment ref="D65" authorId="0" shapeId="0" xr:uid="{00000000-0006-0000-0000-000006000000}">
      <text>
        <r>
          <rPr>
            <sz val="8"/>
            <color rgb="FF000000"/>
            <rFont val="Arial"/>
          </rPr>
          <t xml:space="preserve">Модели и методы искусственного интеллекта/Виртуальная и дополненная реальности (VR, AR)
</t>
        </r>
      </text>
    </comment>
    <comment ref="D81" authorId="0" shapeId="0" xr:uid="{A7CD2A14-D174-48ED-90D6-548BC2DEA966}">
      <text>
        <r>
          <rPr>
            <sz val="8"/>
            <color rgb="FF000000"/>
            <rFont val="Arial"/>
          </rPr>
          <t xml:space="preserve">Облачные технологии
</t>
        </r>
      </text>
    </comment>
  </commentList>
</comments>
</file>

<file path=xl/sharedStrings.xml><?xml version="1.0" encoding="utf-8"?>
<sst xmlns="http://schemas.openxmlformats.org/spreadsheetml/2006/main" count="394" uniqueCount="192">
  <si>
    <t>Жоғары кәсіби білім/Высшее профессиональное образование (бакалавриат)</t>
  </si>
  <si>
    <t>Білім беру саласы/Область образования: 6B06 Информационно-коммуникационные технологии</t>
  </si>
  <si>
    <t>Дайындық бағыты/Направление подготовки: 6B061 Информационно-коммуникационные технологии</t>
  </si>
  <si>
    <t>Пәннің циклы / Цикл дисциплины/The cycle of discipline</t>
  </si>
  <si>
    <t>Оқытудын  модулі/ Модуль обучения/Educational module</t>
  </si>
  <si>
    <t>Пәннің коды/ Код дисциплины/ Discipline code</t>
  </si>
  <si>
    <t xml:space="preserve">Пәндердің атауы/Наименование дисциплин/Name of disciplines
</t>
  </si>
  <si>
    <t>Академиялық кредиттер саны/ Количество академических кредитов/Number of academic credits</t>
  </si>
  <si>
    <t>Дәрістер/ Лекции/Lectures</t>
  </si>
  <si>
    <t>Тәжірибелік сабақтар / Прак. занятия/Practice lessons</t>
  </si>
  <si>
    <t>Зертханалық сабақтар/ Лаб. Занятия/Lab classes</t>
  </si>
  <si>
    <t>БАОӨЖ/ СРОП/IWST</t>
  </si>
  <si>
    <t>БАӨЖ/ СРО/IWS</t>
  </si>
  <si>
    <t>Сағаттардың жалпы саны/ Общее число часов/Total number of hours</t>
  </si>
  <si>
    <t>Бақылау формасы/ Форма контроля/Form of control</t>
  </si>
  <si>
    <t>1 курс/ 1 курс/ 1 course</t>
  </si>
  <si>
    <t>Бірінші семестр/ Первый семестр/ First semester</t>
  </si>
  <si>
    <t>ЖББП МК/ 
ООД ОК/ 
GES МС</t>
  </si>
  <si>
    <t>Әлеуметтік коммуникативтік және дене шынықтыру/ Социальная коммуникативность и физическая культура/ Social communicativeness and physical culture</t>
  </si>
  <si>
    <t>KТ/ IK/ HK 1101</t>
  </si>
  <si>
    <t>Қазақстан тарихы/ История Казахстана/ History of Kazakhstan</t>
  </si>
  <si>
    <t>Әлеуметтік-саяси білімнің модулі/ Модуль социально-политических знаний/ Module of socio-political knowledge</t>
  </si>
  <si>
    <t>PM/ PK/ PC 1102</t>
  </si>
  <si>
    <t>Психология. Мәдениеттану/ Психология. Культурология/ Psychology. Culturology</t>
  </si>
  <si>
    <t>Тілдегі/ Языковой/ Languages</t>
  </si>
  <si>
    <t>ShТ/ IYa/ FL 1103 (1)</t>
  </si>
  <si>
    <t>Шетел тілі/ Иностранный язык/  Foreign Language</t>
  </si>
  <si>
    <t>KОТ/ KRYa/ KRL 1104 (1)</t>
  </si>
  <si>
    <t>Қазақ(орыс) тілі/ Казахский (русский) язык/ Kazakh (Russian) language</t>
  </si>
  <si>
    <t>DSh/ FK/ PC 1105 (1)</t>
  </si>
  <si>
    <t>Дене шынықтыру/ Физическая культура/ Physical Culture</t>
  </si>
  <si>
    <t>ЖББП ТК/ 
ООД КВ/ 
GES SC</t>
  </si>
  <si>
    <t>Жалпы элективті/ Общеэлективный/ General elective</t>
  </si>
  <si>
    <t>ETK/ EBZh/ ELS 1109</t>
  </si>
  <si>
    <t>Экология және тіршілік қауіпсіздігі/Экология и безопасность жизнедеятельности/Ecology and life safety</t>
  </si>
  <si>
    <t>KNZhSZhKM/ ОPАK/ FACC 1109</t>
  </si>
  <si>
    <t>Құқық негіздері және сыбайлас жемқорлыққа қарсы мәдениет/ Основы права и антикоррупционной культуры / Fundamentals  of  Law and anti-corruption culture</t>
  </si>
  <si>
    <t>*</t>
  </si>
  <si>
    <t>EKN/OEP/FEE  1109</t>
  </si>
  <si>
    <t>Экономика және кәсіпкерлік негіздері/Основы экономики и предпринимательства/Fundamentals of Economics and Entrepreneurship</t>
  </si>
  <si>
    <t>KSAN/OFG/BFL 1109</t>
  </si>
  <si>
    <t>Қаржылық сауаттылықты арттыру негіздері /Основы финансовой грамотности/Basics of financial literacy</t>
  </si>
  <si>
    <t>GZN/ ОNI/ FSR 1109</t>
  </si>
  <si>
    <t>Ғылыми зерттеулер негіздері/ Основы научных исследований/ Fundamentals of scientific research</t>
  </si>
  <si>
    <t>БП ЖК/ 
БД ВК/ 
BS UC</t>
  </si>
  <si>
    <t>Математикалық/ Математический / Mathematical</t>
  </si>
  <si>
    <t>Жалпы Бірінші семестр/ Всего Первый семестр/ Total First semester</t>
  </si>
  <si>
    <t xml:space="preserve">7 </t>
  </si>
  <si>
    <t>Екінші семестр/ Второй семестр/ Second semester</t>
  </si>
  <si>
    <t>ShТ/ IYa/ FL 1103 (2)</t>
  </si>
  <si>
    <t>KОТ/ KRYa/ KRL 1104 (2)</t>
  </si>
  <si>
    <t>DSh/ FK/ PC 1105 (2)</t>
  </si>
  <si>
    <t>АKТ/ IKТ/ ICT 1106</t>
  </si>
  <si>
    <t xml:space="preserve">Ақпараттық - коммуникациялық технологиялар/ Информационно-коммуникационные технологии/ Information and communication technologies </t>
  </si>
  <si>
    <t>SA/ PS/ PSS 1107</t>
  </si>
  <si>
    <t>Саясаттану. Әлеуметтану/ Политология.Социология/ Political science. Sociology</t>
  </si>
  <si>
    <t>Бағдарламалау/ Программирование/ Рrograming</t>
  </si>
  <si>
    <t>PТBТ/ ТPYaP/ PPT 1202</t>
  </si>
  <si>
    <t>Python тілінде бағдарламалау технологиясы/ Технология программирования на языке Python/ Python programming technology</t>
  </si>
  <si>
    <t>Оқу практикасы/ Учебная практика/ Educational practice</t>
  </si>
  <si>
    <t>Жалпы Екінші семестр/ Всего Второй семестр/ Total Second semester</t>
  </si>
  <si>
    <t>БАРЛЫҒЫ 1 курс/ИТОГО ПО 1 курсу/ TOTAL 1 course</t>
  </si>
  <si>
    <t xml:space="preserve">14 </t>
  </si>
  <si>
    <t>2 курс/ 2 курс/ 2 course</t>
  </si>
  <si>
    <t>Үшінші семестр/ Третий семестр/ Third semester</t>
  </si>
  <si>
    <t>БП ТК/ 
БД КВ/ 
BS SC</t>
  </si>
  <si>
    <t>Жүйелер мен желілер/ Системы и сети/ Systems and Networks</t>
  </si>
  <si>
    <t>EZhZhZhU/OVSS/ OCSN 2203</t>
  </si>
  <si>
    <t>Есептеу жүйелері мен желілерін ұйымдастыру/Организация вычислительных систем и сетей/Organization of the computing systems and networks</t>
  </si>
  <si>
    <t>EZhZhT /VSST/CSNT 2203</t>
  </si>
  <si>
    <t>Есептеуіш жүйелер, желілер және телекоммуникциялар/Вычислительные системы, сети и телекоммуникации/Computing systems, networks and telecommunications</t>
  </si>
  <si>
    <t>Мәліметтер базасы/ Базы данных/ Database</t>
  </si>
  <si>
    <t>ZhIN/OII/FAI 2205</t>
  </si>
  <si>
    <t>Жасанды интеллект негіздері/Основы искусственного интеллекта/Fundamentals of artificial intelligence</t>
  </si>
  <si>
    <t>Мәліметтер базасы және жасанды интеллект/ Базы данных и искусственный интеллект/ Database and Artificial intelligence</t>
  </si>
  <si>
    <t>MBBT/BDBT/DBT 2206</t>
  </si>
  <si>
    <t>Мәліметтер базасы және блокчейн технологиясы/База данных и блокчейн технологии/ Database and blockchain technologies</t>
  </si>
  <si>
    <t>DSh/ FK/ PC 2105 (1)</t>
  </si>
  <si>
    <t>F/ F/ P 2108</t>
  </si>
  <si>
    <t>Философия/ Философия/ Philosophy</t>
  </si>
  <si>
    <t>Minor/ Minor/ Minor</t>
  </si>
  <si>
    <t>M/ M/ M 2216</t>
  </si>
  <si>
    <t>Жалпы Үшінші семестр/ Всего Третий семестр/ Total Third semester</t>
  </si>
  <si>
    <t>Төртінші семестр/ Четвертый семестр/ Fourth semester</t>
  </si>
  <si>
    <t>DSh/ FK/ PC 2105 (2)</t>
  </si>
  <si>
    <t>Мәліметтерді қорғау/ Безопасность данных/ Data security</t>
  </si>
  <si>
    <t>АKN/ ОIB/ BIS 2207</t>
  </si>
  <si>
    <t>Ақпараттық қауіпсіздік негіздері/ Основы информационной безопасности/ Bases of informative safety</t>
  </si>
  <si>
    <t>Электротехника және электроника негіздері/ Электротехника и основы электроники/ Electrical engineering and bases of electronics</t>
  </si>
  <si>
    <t>F/F /P 2209</t>
  </si>
  <si>
    <t>Физика/Физика/Physics</t>
  </si>
  <si>
    <t xml:space="preserve">Мәліметтерді қорғау/ Безопасность данных/ Data security
</t>
  </si>
  <si>
    <t>SZh/ ES/ ES 2208</t>
  </si>
  <si>
    <t>Сараптамалық жүйелер/Экспертные системы/Expert systems</t>
  </si>
  <si>
    <t>Web әзірлеу және графика/Web разработка и графика/Web development and graphics</t>
  </si>
  <si>
    <t>Жалпы Төртінші семестр/ Всего Четвертый семестр/ Total Fourth semester</t>
  </si>
  <si>
    <t xml:space="preserve">6 </t>
  </si>
  <si>
    <t>БАРЛЫҒЫ 2 курс/ИТОГО ПО 2 курсу/ TOTAL 2 course</t>
  </si>
  <si>
    <t xml:space="preserve">12 </t>
  </si>
  <si>
    <t>3 курс/ 3 курс/ 3 course</t>
  </si>
  <si>
    <t>Бесінші семестр/ Пятый семестр/ Fifth semester</t>
  </si>
  <si>
    <t xml:space="preserve">Салалар бойынша жасанды интеллект/Искусствественный интеллект по отраслям/Artificial intelligence by industry
</t>
  </si>
  <si>
    <t>NZh/NS/NN 3212</t>
  </si>
  <si>
    <t>Нейрондық желілер/Нейронные сети/Neural networks</t>
  </si>
  <si>
    <t>КП ТК/ 
ПД КВ/ 
PS SC</t>
  </si>
  <si>
    <t>E/E/E  3301</t>
  </si>
  <si>
    <t>Электроника/Электроника/Electronics</t>
  </si>
  <si>
    <t>SS/ CS/DC 3301</t>
  </si>
  <si>
    <t>SMAT/CMIT/DMIT 3213</t>
  </si>
  <si>
    <t>Сандық маркетинг және ақпараттық технологиялар: стратегиялар мен қосымшалар/Цифровой маркетинг и информационные технологии: стратегии и приложения/Digital marketing and information technology: strategies and applications</t>
  </si>
  <si>
    <t>MAATK/ITIM/ITRTM 3213</t>
  </si>
  <si>
    <t>Маркетингке арналған АТ құралдары: мақсатты, аналитикалық, жасанды интеллект/ИТ-инструменты для маркетинга: таргетирование, аналитика, искусственный интеллект/IT resourses and tools for marketing: targeting, analitics, artificial intelligence</t>
  </si>
  <si>
    <t>Интеллектуалды боттардың архитектурасы/Архитектура интеллектуальных ботов /Architecture of smart bots</t>
  </si>
  <si>
    <t>Параллельді және үлестірілген бағдарламалау/Параллельное и распределенное программирование /Parallel and distributed programming</t>
  </si>
  <si>
    <t>M/ M/ M 3216</t>
  </si>
  <si>
    <t>Жалпы Бесінші семестр/ Всего Пятый семестр/ Total Fifth semester</t>
  </si>
  <si>
    <t>Алтыншы семестр/ Шестой семестр/ Sixth semester</t>
  </si>
  <si>
    <t>Жасанды интеллект жүйелері/Системы искуственного интелекта /Artificial intelligence systems</t>
  </si>
  <si>
    <t>VRARN/OVRAR/ FVRAR 3302</t>
  </si>
  <si>
    <t>VR және AR негіздері/ Основы VR и AR/ Fundamentals of VR and AR</t>
  </si>
  <si>
    <t>BAT/MPP/MAP 3302</t>
  </si>
  <si>
    <t>Бағдарламалаудың әдістері мен тәсілдері/ Методы и подходы программирования/ Methods and approaches for programming</t>
  </si>
  <si>
    <t>КП ЖК/ 
ПД ВК/ 
PS UC</t>
  </si>
  <si>
    <t>ZhB/UP/ PM 3303</t>
  </si>
  <si>
    <t>Жобаларды басқару/Управление проектами/Project management</t>
  </si>
  <si>
    <t>M/ M/ M 3307</t>
  </si>
  <si>
    <t>GRITZhI / GRITII/ GRITAI 3304</t>
  </si>
  <si>
    <t>GRIT және жасанды интеллект/GR-IT и искусственный интеллект/GR-IT and Artificial intelligence</t>
  </si>
  <si>
    <t>Жалпы Алтыншы семестр/ Всего Шестой семестр/ Total Sixth semester</t>
  </si>
  <si>
    <t>БАРЛЫҒЫ 3 курс/ИТОГО ПО 3 курсу/ TOTAL 3 course</t>
  </si>
  <si>
    <t>4 курс/ 4 курс/ 4 course</t>
  </si>
  <si>
    <t>Жетінші семестр/ Седьмой семестр/ Seventh semester</t>
  </si>
  <si>
    <t>Ақпараттық жүйелер және технологиялар/ Информационные системы и технологии/ Information systems and technology</t>
  </si>
  <si>
    <t>MKZhK/KSMZ/ CMVS  4305</t>
  </si>
  <si>
    <t>Машиналық көру жүйелерінің компоненттері/Компоненты систем машинного зрения/Components of machine vision systems</t>
  </si>
  <si>
    <t xml:space="preserve">Салалар бойынша жасанды интеллект/Искуссвественный интеллект по отраслям/Artificial intelligence by industry
</t>
  </si>
  <si>
    <t>BZhI / IIB / AIB 4306</t>
  </si>
  <si>
    <t>Бизнестегі жасанды интеллект/Искусственный интеллект в бизнесе/Artificial intelligence in business</t>
  </si>
  <si>
    <t>Бұлтты технологиялар/ Облачные технологии/ Cloud technology</t>
  </si>
  <si>
    <t>ZhB/SP/SP 4308</t>
  </si>
  <si>
    <t>Жүйелік бағдарламалау/Системное программирование/System programming</t>
  </si>
  <si>
    <t>RN /OR/FR 4308</t>
  </si>
  <si>
    <t>Робототехника негіздері/Основы робототехники/Fundamentals of robotics</t>
  </si>
  <si>
    <t xml:space="preserve">AZhB/AIS/AIS 4309 </t>
  </si>
  <si>
    <t>Ақпараттық жүйелерді басқару/Администрирование информационных систем/Administration of information systems</t>
  </si>
  <si>
    <t>MT/MT/ MT 4310</t>
  </si>
  <si>
    <t>Жалпы Жетінші семестр/ Всего Седьмой семестр/ Total Seventh semester</t>
  </si>
  <si>
    <t>Сегізінші семестр/ Восьмой семестр/ Eighth semester</t>
  </si>
  <si>
    <t>Кәсіптік практика/ Профессиональная практика/ Professional practice</t>
  </si>
  <si>
    <t>Дипломдық жұмысты (жобаны)орындамайтын білім алушыларға арналған практика/ 
Практика  для обучающихся, не выполняющих дипломную работу (проект)/ Practice for students who don't complete a diploma (project)</t>
  </si>
  <si>
    <t>Дипломдық жұмысты (жобаны)орындайтын білім алушыларға арналған практика/ 
Практика  для обучающихся, выполняющих дипломную работу (проект)/ Practice for students who are doing a diploma (project)</t>
  </si>
  <si>
    <t>Кәсіптік практикалар бойынша барлығы/ Итого по профессиональным практикам/ Total by professional practices</t>
  </si>
  <si>
    <t xml:space="preserve">1 </t>
  </si>
  <si>
    <t>Дипломдық (жобаны) қорғау /Кешенді емтихандар/Защита дипломной работы (проекта) / Комплексные экзамены/Defense of diploma thesis (project), comprehensive examination</t>
  </si>
  <si>
    <t>Жалпы Сегізінші семестр/ Всего Восьмой семестр/ Total Eighth semester</t>
  </si>
  <si>
    <t>БАРЛЫҒЫ 4 курс/ИТОГО ПО 4 курсу/ TOTAL 4 course</t>
  </si>
  <si>
    <t>БАРЛЫҒЫ/ ИТОГО/ TOTAL</t>
  </si>
  <si>
    <t>КЕЛІСІЛДІ/СОГЛАСОВАНО</t>
  </si>
  <si>
    <t xml:space="preserve">ОПЖжҰБ бөлімінің бастығы/ Начальник отдела ПиОУП____________Холина Е.П. </t>
  </si>
  <si>
    <t>____._________20___ж/г.</t>
  </si>
  <si>
    <t xml:space="preserve">___._____.20___ ж/г. </t>
  </si>
  <si>
    <t>Cандық схемотехника/ Цифровая схемотехника/ Digital circuitry</t>
  </si>
  <si>
    <t>Мобильді технологиялар/  Мобильные технологии/ Mobile technology</t>
  </si>
  <si>
    <t>Жоғары математика/Высшая математика/Higher mathematics</t>
  </si>
  <si>
    <t>Жасанды интеллекттегі статистика және оңтайландыру/Статистика и оптимизация в искусственном интеллекте / Statistics and оptimization in Artificial Intelligence</t>
  </si>
  <si>
    <t>ZhISO/SOII/ SOAI 2204</t>
  </si>
  <si>
    <t>КП ЖК / 
ПД ВК/ 
PS UC</t>
  </si>
  <si>
    <t>Есепті қорғау/Защита отчета/Defence of a report</t>
  </si>
  <si>
    <t>Білім беру бағдарламасының жетекшісі/Руководитель ОП_________Удербаева Н.К.</t>
  </si>
  <si>
    <t>Кафедра меңгерушісі/ Зав.кафедрой_____________Удербаева Н.К.</t>
  </si>
  <si>
    <t>ZhM/VM/HM 1201</t>
  </si>
  <si>
    <t>WAG /WRG/WDG  2210</t>
  </si>
  <si>
    <t xml:space="preserve">
Мәліметтерді қорғау/ Безопасность данных/ Data security
</t>
  </si>
  <si>
    <r>
      <t xml:space="preserve">OР/ PP/ </t>
    </r>
    <r>
      <rPr>
        <sz val="8"/>
        <color indexed="10"/>
        <rFont val="Times New Roman"/>
        <family val="1"/>
        <charset val="204"/>
      </rPr>
      <t>SP</t>
    </r>
    <r>
      <rPr>
        <sz val="8"/>
        <rFont val="Times New Roman"/>
        <family val="1"/>
        <charset val="204"/>
      </rPr>
      <t xml:space="preserve"> 3</t>
    </r>
    <r>
      <rPr>
        <sz val="8"/>
        <color rgb="FFFF0000"/>
        <rFont val="Times New Roman"/>
        <family val="1"/>
        <charset val="204"/>
      </rPr>
      <t>219</t>
    </r>
  </si>
  <si>
    <r>
      <t xml:space="preserve">Өндірістік практика/ Производственная практика/ </t>
    </r>
    <r>
      <rPr>
        <sz val="8"/>
        <color indexed="10"/>
        <rFont val="Times New Roman"/>
        <family val="1"/>
        <charset val="204"/>
      </rPr>
      <t xml:space="preserve">Specialized </t>
    </r>
    <r>
      <rPr>
        <sz val="8"/>
        <rFont val="Times New Roman"/>
        <family val="1"/>
        <charset val="204"/>
      </rPr>
      <t xml:space="preserve"> practice</t>
    </r>
  </si>
  <si>
    <r>
      <t xml:space="preserve">ZhIZh/ SII/AIS </t>
    </r>
    <r>
      <rPr>
        <sz val="8"/>
        <color rgb="FFFF0000"/>
        <rFont val="Times New Roman"/>
        <family val="1"/>
        <charset val="204"/>
      </rPr>
      <t>3218</t>
    </r>
  </si>
  <si>
    <r>
      <t>OР</t>
    </r>
    <r>
      <rPr>
        <sz val="8"/>
        <color rgb="FFFF0000"/>
        <rFont val="Times New Roman"/>
        <family val="1"/>
        <charset val="204"/>
      </rPr>
      <t>/PP /</t>
    </r>
    <r>
      <rPr>
        <sz val="8"/>
        <rFont val="Times New Roman"/>
        <family val="1"/>
        <charset val="204"/>
      </rPr>
      <t xml:space="preserve"> SP 2214</t>
    </r>
  </si>
  <si>
    <r>
      <t xml:space="preserve">Өндірістік практика/ Производственная практика/ </t>
    </r>
    <r>
      <rPr>
        <sz val="9"/>
        <color indexed="10"/>
        <rFont val="Times New Roman"/>
        <family val="1"/>
        <charset val="204"/>
      </rPr>
      <t xml:space="preserve">Specialized </t>
    </r>
    <r>
      <rPr>
        <sz val="9"/>
        <rFont val="Times New Roman"/>
        <family val="1"/>
        <charset val="204"/>
      </rPr>
      <t xml:space="preserve"> practice</t>
    </r>
  </si>
  <si>
    <r>
      <t>ОР/ UP/ EP</t>
    </r>
    <r>
      <rPr>
        <sz val="8"/>
        <color rgb="FFFF0000"/>
        <rFont val="Times New Roman"/>
        <family val="1"/>
        <charset val="204"/>
      </rPr>
      <t xml:space="preserve"> 1211</t>
    </r>
  </si>
  <si>
    <t>Білім беру бағдарламасы: 6В06150 Ақпараттық технологиялар және жасанды интеллект/ Образовательная программа: 6В06150 Информационные технологии и искусственный интеллект</t>
  </si>
  <si>
    <t>Әлеуметтік коммуникативтік және дене шынықтыру/ Социальная коммуникативность и физическая культура/Social communication and physical education</t>
  </si>
  <si>
    <t>Емтихан/Экзамен/ Examination</t>
  </si>
  <si>
    <t>Мемлекеттік емтихан/
Государственный экзамен/State Examination</t>
  </si>
  <si>
    <r>
      <rPr>
        <b/>
        <sz val="11"/>
        <color rgb="FFFF0000"/>
        <rFont val="Times New Roman"/>
        <family val="1"/>
        <charset val="204"/>
      </rPr>
      <t>2025-2029</t>
    </r>
    <r>
      <rPr>
        <sz val="11"/>
        <color rgb="FFFF0000"/>
        <rFont val="Times New Roman"/>
        <family val="1"/>
        <charset val="204"/>
      </rPr>
      <t xml:space="preserve"> </t>
    </r>
    <r>
      <rPr>
        <b/>
        <sz val="11"/>
        <color rgb="FF000000"/>
        <rFont val="Times New Roman"/>
        <family val="1"/>
        <charset val="204"/>
      </rPr>
      <t xml:space="preserve">жылдарға арналған негізгі модульдік білім беру бағдарламасының оқу жоспары/Учебный план основной модульной образовательной программы на </t>
    </r>
    <r>
      <rPr>
        <b/>
        <sz val="11"/>
        <color rgb="FFFF0000"/>
        <rFont val="Times New Roman"/>
        <family val="1"/>
        <charset val="204"/>
      </rPr>
      <t xml:space="preserve">2025-2029год </t>
    </r>
  </si>
  <si>
    <t>Өндірістік  практика (д.қ)/ Производственная (без з.д.) практика / Specialized  practice (no thesis)//Диплом алды практика/ Преддипломная практика/ Pre-graduation practice</t>
  </si>
  <si>
    <t>ҚА/ИА / FА</t>
  </si>
  <si>
    <t>DZhZh /KEDT/ NZDR/PSKE/ WDT/PPCE 4401</t>
  </si>
  <si>
    <t>Дипломдық жұмысты (жобаны) жазу/Кешенді емтихандарды дайындау және тапсыру/  Написание и защита дипломной работы (проекта) /Подготовка и сдача комплексных экзаменов / Writing and Defense of Thesis (Project)/Preparation and Passing of comprehensive Examination</t>
  </si>
  <si>
    <t>OР/ PP/ SP 4312</t>
  </si>
  <si>
    <r>
      <rPr>
        <sz val="8"/>
        <rFont val="Times New Roman"/>
        <family val="1"/>
        <charset val="204"/>
      </rPr>
      <t>BТ/ ОТ/ CT</t>
    </r>
    <r>
      <rPr>
        <sz val="8"/>
        <color rgb="FFFF0000"/>
        <rFont val="Times New Roman"/>
        <family val="1"/>
        <charset val="204"/>
      </rPr>
      <t xml:space="preserve"> 4311</t>
    </r>
  </si>
  <si>
    <r>
      <t xml:space="preserve">IBA / AIB/ ASB </t>
    </r>
    <r>
      <rPr>
        <sz val="8"/>
        <color indexed="10"/>
        <rFont val="Times New Roman"/>
        <family val="1"/>
        <charset val="204"/>
      </rPr>
      <t>3215</t>
    </r>
  </si>
  <si>
    <r>
      <t xml:space="preserve">PUB/PRP/ PDP </t>
    </r>
    <r>
      <rPr>
        <sz val="8"/>
        <color indexed="10"/>
        <rFont val="Times New Roman"/>
        <family val="1"/>
        <charset val="204"/>
      </rPr>
      <t>3217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</si>
</sst>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8"/>
      <color rgb="FF00000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name val="Arial"/>
      <family val="2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al Cyr"/>
      <charset val="204"/>
    </font>
    <font>
      <sz val="9"/>
      <name val="Times New Roman"/>
      <family val="1"/>
      <charset val="204"/>
    </font>
    <font>
      <sz val="8"/>
      <color indexed="1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indexed="10"/>
      <name val="Times New Roman"/>
      <family val="1"/>
      <charset val="204"/>
    </font>
    <font>
      <b/>
      <sz val="11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i/>
      <sz val="10"/>
      <color rgb="FF000000"/>
      <name val="Times New Roman"/>
      <family val="1"/>
      <charset val="204"/>
    </font>
    <font>
      <sz val="6"/>
      <name val="Times New Roman"/>
      <family val="1"/>
      <charset val="204"/>
    </font>
    <font>
      <b/>
      <sz val="8.5"/>
      <color rgb="FF00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0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" fillId="0" borderId="0"/>
  </cellStyleXfs>
  <cellXfs count="95">
    <xf numFmtId="0" fontId="0" fillId="0" borderId="0" xfId="0" applyProtection="1"/>
    <xf numFmtId="0" fontId="3" fillId="2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  <xf numFmtId="0" fontId="4" fillId="6" borderId="1" xfId="0" applyFont="1" applyFill="1" applyBorder="1" applyAlignment="1" applyProtection="1">
      <alignment horizontal="center" vertical="center" wrapText="1"/>
    </xf>
    <xf numFmtId="0" fontId="4" fillId="5" borderId="1" xfId="0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 applyProtection="1">
      <alignment horizontal="center" vertical="center" wrapText="1"/>
    </xf>
    <xf numFmtId="0" fontId="11" fillId="9" borderId="10" xfId="1" applyNumberFormat="1" applyFont="1" applyFill="1" applyBorder="1" applyAlignment="1">
      <alignment horizontal="center" vertical="center" wrapText="1"/>
    </xf>
    <xf numFmtId="0" fontId="18" fillId="2" borderId="1" xfId="0" applyFont="1" applyFill="1" applyBorder="1" applyAlignment="1" applyProtection="1">
      <alignment horizontal="center" vertical="center" wrapText="1"/>
    </xf>
    <xf numFmtId="0" fontId="9" fillId="6" borderId="1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 applyProtection="1">
      <alignment horizontal="center" vertical="center" wrapText="1"/>
    </xf>
    <xf numFmtId="0" fontId="9" fillId="2" borderId="0" xfId="0" applyFont="1" applyFill="1" applyAlignment="1" applyProtection="1">
      <alignment horizontal="center" vertical="center"/>
    </xf>
    <xf numFmtId="0" fontId="5" fillId="9" borderId="10" xfId="1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 applyProtection="1">
      <alignment horizontal="center" vertical="center" wrapText="1"/>
    </xf>
    <xf numFmtId="0" fontId="11" fillId="6" borderId="1" xfId="0" applyFont="1" applyFill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top" wrapText="1"/>
    </xf>
    <xf numFmtId="0" fontId="11" fillId="10" borderId="1" xfId="0" applyFont="1" applyFill="1" applyBorder="1" applyAlignment="1" applyProtection="1">
      <alignment horizontal="center" vertical="center" wrapText="1"/>
    </xf>
    <xf numFmtId="0" fontId="14" fillId="9" borderId="10" xfId="1" applyFont="1" applyFill="1" applyBorder="1" applyAlignment="1">
      <alignment horizontal="center" vertical="center" wrapText="1"/>
    </xf>
    <xf numFmtId="0" fontId="17" fillId="2" borderId="0" xfId="0" applyFont="1" applyFill="1" applyAlignment="1" applyProtection="1">
      <alignment horizontal="left" vertical="center"/>
    </xf>
    <xf numFmtId="0" fontId="18" fillId="0" borderId="1" xfId="0" applyFont="1" applyBorder="1" applyAlignment="1" applyProtection="1">
      <alignment horizontal="center" vertical="center" wrapText="1"/>
    </xf>
    <xf numFmtId="0" fontId="5" fillId="9" borderId="10" xfId="1" applyFont="1" applyFill="1" applyBorder="1" applyAlignment="1">
      <alignment horizontal="center" vertical="center" wrapText="1"/>
    </xf>
    <xf numFmtId="0" fontId="5" fillId="9" borderId="11" xfId="1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 wrapText="1"/>
    </xf>
    <xf numFmtId="0" fontId="17" fillId="2" borderId="0" xfId="0" applyFont="1" applyFill="1" applyAlignment="1" applyProtection="1">
      <alignment horizontal="left" vertical="center"/>
    </xf>
    <xf numFmtId="0" fontId="11" fillId="0" borderId="12" xfId="0" applyFont="1" applyBorder="1" applyAlignment="1">
      <alignment horizontal="center" vertical="center" wrapText="1"/>
    </xf>
    <xf numFmtId="0" fontId="21" fillId="5" borderId="1" xfId="0" applyFont="1" applyFill="1" applyBorder="1" applyAlignment="1" applyProtection="1">
      <alignment horizontal="center" vertical="center" wrapText="1"/>
    </xf>
    <xf numFmtId="0" fontId="21" fillId="0" borderId="1" xfId="0" applyFont="1" applyBorder="1" applyAlignment="1" applyProtection="1">
      <alignment horizontal="center" vertical="center" wrapText="1"/>
    </xf>
    <xf numFmtId="0" fontId="21" fillId="2" borderId="1" xfId="0" applyFont="1" applyFill="1" applyBorder="1" applyAlignment="1" applyProtection="1">
      <alignment horizontal="center" vertical="center" wrapText="1"/>
    </xf>
    <xf numFmtId="0" fontId="20" fillId="8" borderId="0" xfId="5" applyFont="1" applyFill="1" applyBorder="1" applyAlignment="1">
      <alignment horizontal="center" vertical="center" wrapText="1"/>
    </xf>
    <xf numFmtId="0" fontId="11" fillId="8" borderId="10" xfId="1" applyFont="1" applyFill="1" applyBorder="1" applyAlignment="1">
      <alignment horizontal="center" vertical="center" wrapText="1"/>
    </xf>
    <xf numFmtId="0" fontId="5" fillId="8" borderId="11" xfId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4" fillId="0" borderId="0" xfId="0" applyFont="1" applyAlignment="1" applyProtection="1">
      <alignment horizontal="left" wrapText="1"/>
    </xf>
    <xf numFmtId="0" fontId="22" fillId="0" borderId="1" xfId="0" applyFont="1" applyBorder="1" applyAlignment="1" applyProtection="1">
      <alignment horizontal="center" vertical="center" wrapText="1"/>
    </xf>
    <xf numFmtId="0" fontId="22" fillId="0" borderId="1" xfId="0" applyFont="1" applyBorder="1" applyAlignment="1" applyProtection="1">
      <alignment horizontal="center" vertical="top" wrapText="1"/>
    </xf>
    <xf numFmtId="0" fontId="4" fillId="0" borderId="0" xfId="0" applyFont="1" applyProtection="1"/>
    <xf numFmtId="0" fontId="22" fillId="0" borderId="1" xfId="0" applyFont="1" applyBorder="1" applyAlignment="1" applyProtection="1">
      <alignment horizontal="center" vertical="center" wrapText="1"/>
    </xf>
    <xf numFmtId="0" fontId="4" fillId="2" borderId="0" xfId="0" applyFont="1" applyFill="1" applyProtection="1"/>
    <xf numFmtId="0" fontId="4" fillId="2" borderId="3" xfId="0" applyFont="1" applyFill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 wrapText="1"/>
    </xf>
    <xf numFmtId="0" fontId="4" fillId="2" borderId="7" xfId="0" applyFont="1" applyFill="1" applyBorder="1" applyAlignment="1" applyProtection="1">
      <alignment horizontal="center" vertical="center" wrapText="1"/>
    </xf>
    <xf numFmtId="0" fontId="4" fillId="6" borderId="4" xfId="0" applyFont="1" applyFill="1" applyBorder="1" applyAlignment="1" applyProtection="1">
      <alignment horizontal="center" vertical="center" wrapText="1"/>
    </xf>
    <xf numFmtId="0" fontId="22" fillId="2" borderId="2" xfId="0" applyFont="1" applyFill="1" applyBorder="1" applyAlignment="1" applyProtection="1">
      <alignment horizontal="center" vertical="center" wrapText="1"/>
    </xf>
    <xf numFmtId="0" fontId="22" fillId="2" borderId="3" xfId="0" applyFont="1" applyFill="1" applyBorder="1" applyAlignment="1" applyProtection="1">
      <alignment horizontal="center" vertical="center" wrapText="1"/>
    </xf>
    <xf numFmtId="0" fontId="22" fillId="2" borderId="5" xfId="0" applyFont="1" applyFill="1" applyBorder="1" applyAlignment="1" applyProtection="1">
      <alignment horizontal="center" vertical="center" wrapText="1"/>
    </xf>
    <xf numFmtId="0" fontId="22" fillId="2" borderId="0" xfId="0" applyFont="1" applyFill="1" applyAlignment="1" applyProtection="1">
      <alignment wrapText="1"/>
    </xf>
    <xf numFmtId="0" fontId="22" fillId="2" borderId="0" xfId="0" applyFont="1" applyFill="1" applyProtection="1"/>
    <xf numFmtId="0" fontId="4" fillId="0" borderId="4" xfId="0" applyFont="1" applyBorder="1" applyAlignment="1" applyProtection="1">
      <alignment horizontal="center" vertical="center" wrapText="1"/>
    </xf>
    <xf numFmtId="0" fontId="4" fillId="0" borderId="6" xfId="0" applyFont="1" applyBorder="1" applyAlignment="1" applyProtection="1">
      <alignment horizontal="center" vertical="center" wrapText="1"/>
    </xf>
    <xf numFmtId="0" fontId="4" fillId="7" borderId="4" xfId="0" applyFont="1" applyFill="1" applyBorder="1" applyAlignment="1" applyProtection="1">
      <alignment horizontal="center" vertical="center" wrapText="1"/>
    </xf>
    <xf numFmtId="0" fontId="4" fillId="0" borderId="4" xfId="0" applyFont="1" applyBorder="1" applyAlignment="1" applyProtection="1">
      <alignment horizontal="center" vertical="center" wrapText="1"/>
    </xf>
    <xf numFmtId="0" fontId="22" fillId="2" borderId="1" xfId="0" applyFont="1" applyFill="1" applyBorder="1" applyAlignment="1" applyProtection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3" xfId="0" applyFont="1" applyBorder="1" applyAlignment="1" applyProtection="1">
      <alignment horizontal="center" vertical="center" wrapText="1"/>
    </xf>
    <xf numFmtId="0" fontId="4" fillId="2" borderId="4" xfId="0" applyFont="1" applyFill="1" applyBorder="1" applyAlignment="1" applyProtection="1">
      <alignment horizontal="center" vertical="center" wrapText="1"/>
    </xf>
    <xf numFmtId="0" fontId="22" fillId="0" borderId="2" xfId="0" applyFont="1" applyBorder="1" applyAlignment="1" applyProtection="1">
      <alignment horizontal="center" vertical="center" wrapText="1"/>
    </xf>
    <xf numFmtId="0" fontId="22" fillId="0" borderId="3" xfId="0" applyFont="1" applyBorder="1" applyAlignment="1" applyProtection="1">
      <alignment horizontal="center" vertical="center" wrapText="1"/>
    </xf>
    <xf numFmtId="0" fontId="22" fillId="0" borderId="5" xfId="0" applyFont="1" applyBorder="1" applyAlignment="1" applyProtection="1">
      <alignment horizontal="center" vertical="center" wrapText="1"/>
    </xf>
    <xf numFmtId="0" fontId="22" fillId="0" borderId="0" xfId="0" applyFont="1" applyAlignment="1" applyProtection="1">
      <alignment wrapText="1"/>
    </xf>
    <xf numFmtId="0" fontId="22" fillId="0" borderId="8" xfId="0" applyFont="1" applyBorder="1" applyAlignment="1" applyProtection="1">
      <alignment horizontal="center" wrapText="1"/>
    </xf>
    <xf numFmtId="0" fontId="22" fillId="0" borderId="9" xfId="0" applyFont="1" applyBorder="1" applyAlignment="1" applyProtection="1">
      <alignment horizontal="center" wrapText="1"/>
    </xf>
    <xf numFmtId="0" fontId="22" fillId="0" borderId="0" xfId="0" applyFont="1" applyProtection="1"/>
    <xf numFmtId="0" fontId="22" fillId="0" borderId="0" xfId="0" applyFont="1" applyAlignment="1" applyProtection="1">
      <alignment horizontal="left" wrapText="1"/>
    </xf>
    <xf numFmtId="0" fontId="22" fillId="3" borderId="2" xfId="0" applyFont="1" applyFill="1" applyBorder="1" applyAlignment="1" applyProtection="1">
      <alignment horizontal="center" vertical="center" wrapText="1"/>
    </xf>
    <xf numFmtId="0" fontId="22" fillId="3" borderId="3" xfId="0" applyFont="1" applyFill="1" applyBorder="1" applyAlignment="1" applyProtection="1">
      <alignment horizontal="center" vertical="center" wrapText="1"/>
    </xf>
    <xf numFmtId="0" fontId="22" fillId="3" borderId="5" xfId="0" applyFont="1" applyFill="1" applyBorder="1" applyAlignment="1" applyProtection="1">
      <alignment horizontal="center" vertical="center" wrapText="1"/>
    </xf>
    <xf numFmtId="0" fontId="22" fillId="3" borderId="1" xfId="0" applyFont="1" applyFill="1" applyBorder="1" applyAlignment="1" applyProtection="1">
      <alignment horizontal="center" vertical="center" wrapText="1"/>
    </xf>
    <xf numFmtId="0" fontId="22" fillId="0" borderId="0" xfId="0" applyFont="1" applyAlignment="1" applyProtection="1">
      <alignment horizontal="left"/>
    </xf>
    <xf numFmtId="0" fontId="22" fillId="4" borderId="2" xfId="0" applyFont="1" applyFill="1" applyBorder="1" applyAlignment="1" applyProtection="1">
      <alignment horizontal="center" vertical="center" wrapText="1"/>
    </xf>
    <xf numFmtId="0" fontId="22" fillId="4" borderId="3" xfId="0" applyFont="1" applyFill="1" applyBorder="1" applyAlignment="1" applyProtection="1">
      <alignment horizontal="center" vertical="center" wrapText="1"/>
    </xf>
    <xf numFmtId="0" fontId="22" fillId="4" borderId="5" xfId="0" applyFont="1" applyFill="1" applyBorder="1" applyAlignment="1" applyProtection="1">
      <alignment horizontal="center" vertical="center" wrapText="1"/>
    </xf>
    <xf numFmtId="0" fontId="22" fillId="4" borderId="1" xfId="0" applyFont="1" applyFill="1" applyBorder="1" applyAlignment="1" applyProtection="1">
      <alignment horizontal="center" vertical="center" wrapText="1"/>
    </xf>
    <xf numFmtId="0" fontId="4" fillId="0" borderId="0" xfId="0" applyFont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0" fontId="8" fillId="2" borderId="0" xfId="0" applyFont="1" applyFill="1" applyAlignment="1" applyProtection="1">
      <alignment horizontal="left" vertical="center"/>
    </xf>
    <xf numFmtId="0" fontId="23" fillId="2" borderId="0" xfId="0" applyFont="1" applyFill="1" applyAlignment="1" applyProtection="1">
      <alignment horizontal="left" vertical="center"/>
    </xf>
    <xf numFmtId="0" fontId="17" fillId="2" borderId="0" xfId="0" applyFont="1" applyFill="1" applyAlignment="1" applyProtection="1">
      <alignment vertical="center"/>
    </xf>
    <xf numFmtId="0" fontId="17" fillId="2" borderId="0" xfId="0" applyFont="1" applyFill="1" applyAlignment="1" applyProtection="1">
      <alignment vertical="center" wrapText="1"/>
    </xf>
    <xf numFmtId="0" fontId="17" fillId="2" borderId="0" xfId="0" applyFont="1" applyFill="1" applyAlignment="1" applyProtection="1">
      <alignment horizontal="left" vertical="center" wrapText="1"/>
    </xf>
    <xf numFmtId="0" fontId="24" fillId="2" borderId="0" xfId="0" applyFont="1" applyFill="1" applyAlignment="1" applyProtection="1">
      <alignment horizontal="center" vertical="center"/>
    </xf>
    <xf numFmtId="0" fontId="17" fillId="2" borderId="0" xfId="0" applyFont="1" applyFill="1" applyAlignment="1" applyProtection="1">
      <alignment vertical="center"/>
    </xf>
    <xf numFmtId="0" fontId="17" fillId="2" borderId="0" xfId="0" applyFont="1" applyFill="1" applyAlignment="1" applyProtection="1">
      <alignment horizontal="center" vertical="center"/>
    </xf>
    <xf numFmtId="0" fontId="9" fillId="5" borderId="3" xfId="0" applyFont="1" applyFill="1" applyBorder="1" applyAlignment="1" applyProtection="1">
      <alignment horizontal="center" vertical="center" wrapText="1"/>
    </xf>
    <xf numFmtId="0" fontId="22" fillId="5" borderId="3" xfId="0" applyFont="1" applyFill="1" applyBorder="1" applyAlignment="1" applyProtection="1">
      <alignment horizontal="center" wrapText="1"/>
    </xf>
    <xf numFmtId="0" fontId="11" fillId="8" borderId="13" xfId="0" applyFont="1" applyFill="1" applyBorder="1" applyAlignment="1">
      <alignment horizontal="center" vertical="center" wrapText="1"/>
    </xf>
    <xf numFmtId="0" fontId="11" fillId="8" borderId="10" xfId="0" applyFont="1" applyFill="1" applyBorder="1" applyAlignment="1">
      <alignment horizontal="center" vertical="center" wrapText="1"/>
    </xf>
    <xf numFmtId="1" fontId="11" fillId="0" borderId="10" xfId="0" applyNumberFormat="1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12" fillId="0" borderId="0" xfId="0" applyFont="1"/>
    <xf numFmtId="0" fontId="11" fillId="8" borderId="10" xfId="1" applyFont="1" applyFill="1" applyBorder="1" applyAlignment="1">
      <alignment horizontal="center" vertical="center" wrapText="1"/>
    </xf>
    <xf numFmtId="0" fontId="11" fillId="8" borderId="11" xfId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1" fontId="26" fillId="0" borderId="1" xfId="0" applyNumberFormat="1" applyFont="1" applyBorder="1" applyAlignment="1" applyProtection="1">
      <alignment horizontal="center" vertical="center" wrapText="1"/>
    </xf>
    <xf numFmtId="0" fontId="26" fillId="3" borderId="1" xfId="0" applyFont="1" applyFill="1" applyBorder="1" applyAlignment="1" applyProtection="1">
      <alignment horizontal="center" vertical="center" wrapText="1"/>
    </xf>
    <xf numFmtId="0" fontId="26" fillId="4" borderId="1" xfId="0" applyFont="1" applyFill="1" applyBorder="1" applyAlignment="1" applyProtection="1">
      <alignment horizontal="center" vertical="center" wrapText="1"/>
    </xf>
  </cellXfs>
  <cellStyles count="8">
    <cellStyle name="Обычный" xfId="0" builtinId="0"/>
    <cellStyle name="Обычный 2" xfId="2" xr:uid="{CD67B89A-13B2-4417-8F65-52FBC87C49B8}"/>
    <cellStyle name="Обычный 3" xfId="3" xr:uid="{EEB10251-DAE6-4D03-BAD6-E41A4AC34F7C}"/>
    <cellStyle name="Обычный 3 2" xfId="4" xr:uid="{89AC155D-786E-406B-B18A-66485DBD4F92}"/>
    <cellStyle name="Обычный 3 3" xfId="7" xr:uid="{BF7848DD-D23C-47EF-8A97-9530CD4951A4}"/>
    <cellStyle name="Обычный 4" xfId="5" xr:uid="{F1BACE01-D924-49C1-8ECB-F82906C9A544}"/>
    <cellStyle name="Обычный 5" xfId="1" xr:uid="{B0F91D58-F027-4FC8-9670-C2D6F6170841}"/>
    <cellStyle name="Процентный 2" xfId="6" xr:uid="{86A0243E-3385-45B1-AF6D-F053BE053767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99"/>
  <sheetViews>
    <sheetView tabSelected="1" view="pageBreakPreview" topLeftCell="A79" zoomScale="90" zoomScaleNormal="90" zoomScaleSheetLayoutView="90" workbookViewId="0">
      <selection activeCell="D86" sqref="D86"/>
    </sheetView>
  </sheetViews>
  <sheetFormatPr defaultRowHeight="10.15" customHeight="1" x14ac:dyDescent="0.2"/>
  <cols>
    <col min="1" max="1" width="12.6640625" style="34" customWidth="1"/>
    <col min="2" max="2" width="47.33203125" style="34" customWidth="1"/>
    <col min="3" max="3" width="17.1640625" style="34" customWidth="1"/>
    <col min="4" max="4" width="65.6640625" style="34" customWidth="1"/>
    <col min="5" max="5" width="14.83203125" style="34" customWidth="1"/>
    <col min="6" max="6" width="9.1640625" style="34" customWidth="1"/>
    <col min="7" max="7" width="9" style="34" customWidth="1"/>
    <col min="8" max="8" width="8.83203125" style="34" customWidth="1"/>
    <col min="9" max="10" width="8.1640625" style="34" customWidth="1"/>
    <col min="11" max="11" width="10.33203125" style="34" customWidth="1"/>
    <col min="12" max="12" width="20" style="34" customWidth="1"/>
    <col min="13" max="16384" width="9.33203125" style="34"/>
  </cols>
  <sheetData>
    <row r="1" spans="1:12" s="31" customFormat="1" ht="13.9" customHeight="1" x14ac:dyDescent="0.2">
      <c r="A1" s="21" t="s">
        <v>183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s="31" customFormat="1" ht="13.9" customHeight="1" x14ac:dyDescent="0.2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2" s="31" customFormat="1" ht="13.9" customHeight="1" x14ac:dyDescent="0.2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</row>
    <row r="4" spans="1:12" s="31" customFormat="1" ht="14.25" customHeight="1" x14ac:dyDescent="0.2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s="31" customFormat="1" ht="15" customHeight="1" x14ac:dyDescent="0.2">
      <c r="A5" s="27" t="s">
        <v>179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2" ht="84.75" customHeight="1" x14ac:dyDescent="0.2">
      <c r="A6" s="32" t="s">
        <v>3</v>
      </c>
      <c r="B6" s="32" t="s">
        <v>4</v>
      </c>
      <c r="C6" s="32" t="s">
        <v>5</v>
      </c>
      <c r="D6" s="18" t="s">
        <v>6</v>
      </c>
      <c r="E6" s="33" t="s">
        <v>7</v>
      </c>
      <c r="F6" s="18" t="s">
        <v>8</v>
      </c>
      <c r="G6" s="32" t="s">
        <v>9</v>
      </c>
      <c r="H6" s="32" t="s">
        <v>10</v>
      </c>
      <c r="I6" s="32" t="s">
        <v>11</v>
      </c>
      <c r="J6" s="32" t="s">
        <v>12</v>
      </c>
      <c r="K6" s="32" t="s">
        <v>13</v>
      </c>
      <c r="L6" s="18" t="s">
        <v>14</v>
      </c>
    </row>
    <row r="7" spans="1:12" ht="10.15" customHeight="1" x14ac:dyDescent="0.2">
      <c r="A7" s="35" t="s">
        <v>15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</row>
    <row r="8" spans="1:12" ht="10.15" customHeight="1" x14ac:dyDescent="0.2">
      <c r="A8" s="35" t="s">
        <v>16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</row>
    <row r="9" spans="1:12" s="36" customFormat="1" ht="48.75" customHeight="1" x14ac:dyDescent="0.2">
      <c r="A9" s="26" t="s">
        <v>17</v>
      </c>
      <c r="B9" s="23" t="s">
        <v>180</v>
      </c>
      <c r="C9" s="2" t="s">
        <v>19</v>
      </c>
      <c r="D9" s="2" t="s">
        <v>20</v>
      </c>
      <c r="E9" s="5">
        <v>5</v>
      </c>
      <c r="F9" s="5">
        <v>20</v>
      </c>
      <c r="G9" s="5">
        <v>30</v>
      </c>
      <c r="H9" s="5"/>
      <c r="I9" s="5">
        <v>15</v>
      </c>
      <c r="J9" s="5">
        <v>85</v>
      </c>
      <c r="K9" s="5">
        <v>150</v>
      </c>
      <c r="L9" s="2" t="s">
        <v>182</v>
      </c>
    </row>
    <row r="10" spans="1:12" s="36" customFormat="1" ht="30.6" customHeight="1" x14ac:dyDescent="0.2">
      <c r="A10" s="26" t="s">
        <v>17</v>
      </c>
      <c r="B10" s="37" t="s">
        <v>21</v>
      </c>
      <c r="C10" s="2" t="s">
        <v>22</v>
      </c>
      <c r="D10" s="2" t="s">
        <v>23</v>
      </c>
      <c r="E10" s="5">
        <v>4</v>
      </c>
      <c r="F10" s="5">
        <v>20</v>
      </c>
      <c r="G10" s="5">
        <v>20</v>
      </c>
      <c r="H10" s="5"/>
      <c r="I10" s="5">
        <v>15</v>
      </c>
      <c r="J10" s="5">
        <v>65</v>
      </c>
      <c r="K10" s="5">
        <v>120</v>
      </c>
      <c r="L10" s="30" t="s">
        <v>181</v>
      </c>
    </row>
    <row r="11" spans="1:12" s="36" customFormat="1" ht="30.6" customHeight="1" x14ac:dyDescent="0.2">
      <c r="A11" s="26" t="s">
        <v>17</v>
      </c>
      <c r="B11" s="38" t="s">
        <v>24</v>
      </c>
      <c r="C11" s="2" t="s">
        <v>25</v>
      </c>
      <c r="D11" s="2" t="s">
        <v>26</v>
      </c>
      <c r="E11" s="5">
        <v>5</v>
      </c>
      <c r="F11" s="5"/>
      <c r="G11" s="5">
        <v>50</v>
      </c>
      <c r="H11" s="5"/>
      <c r="I11" s="5">
        <v>15</v>
      </c>
      <c r="J11" s="5">
        <v>85</v>
      </c>
      <c r="K11" s="5">
        <v>150</v>
      </c>
      <c r="L11" s="30" t="s">
        <v>181</v>
      </c>
    </row>
    <row r="12" spans="1:12" s="36" customFormat="1" ht="30.6" customHeight="1" x14ac:dyDescent="0.2">
      <c r="A12" s="26" t="s">
        <v>17</v>
      </c>
      <c r="B12" s="39"/>
      <c r="C12" s="2" t="s">
        <v>27</v>
      </c>
      <c r="D12" s="2" t="s">
        <v>28</v>
      </c>
      <c r="E12" s="5">
        <v>5</v>
      </c>
      <c r="F12" s="5"/>
      <c r="G12" s="5">
        <v>50</v>
      </c>
      <c r="H12" s="5"/>
      <c r="I12" s="5">
        <v>15</v>
      </c>
      <c r="J12" s="5">
        <v>85</v>
      </c>
      <c r="K12" s="5">
        <v>150</v>
      </c>
      <c r="L12" s="30" t="s">
        <v>181</v>
      </c>
    </row>
    <row r="13" spans="1:12" s="36" customFormat="1" ht="39" customHeight="1" x14ac:dyDescent="0.2">
      <c r="A13" s="26" t="s">
        <v>17</v>
      </c>
      <c r="B13" s="23" t="s">
        <v>180</v>
      </c>
      <c r="C13" s="2" t="s">
        <v>29</v>
      </c>
      <c r="D13" s="2" t="s">
        <v>30</v>
      </c>
      <c r="E13" s="5">
        <v>2</v>
      </c>
      <c r="F13" s="5"/>
      <c r="G13" s="5">
        <v>60</v>
      </c>
      <c r="H13" s="5"/>
      <c r="I13" s="5"/>
      <c r="J13" s="5"/>
      <c r="K13" s="5">
        <v>60</v>
      </c>
      <c r="L13" s="30" t="s">
        <v>181</v>
      </c>
    </row>
    <row r="14" spans="1:12" s="36" customFormat="1" ht="30.6" customHeight="1" x14ac:dyDescent="0.2">
      <c r="A14" s="26" t="s">
        <v>31</v>
      </c>
      <c r="B14" s="38" t="s">
        <v>32</v>
      </c>
      <c r="C14" s="2" t="s">
        <v>33</v>
      </c>
      <c r="D14" s="2" t="s">
        <v>34</v>
      </c>
      <c r="E14" s="5">
        <v>5</v>
      </c>
      <c r="F14" s="5">
        <v>20</v>
      </c>
      <c r="G14" s="5">
        <v>30</v>
      </c>
      <c r="H14" s="5"/>
      <c r="I14" s="5">
        <v>15</v>
      </c>
      <c r="J14" s="5">
        <v>85</v>
      </c>
      <c r="K14" s="5">
        <v>150</v>
      </c>
      <c r="L14" s="30" t="s">
        <v>181</v>
      </c>
    </row>
    <row r="15" spans="1:12" s="36" customFormat="1" ht="30.6" customHeight="1" x14ac:dyDescent="0.2">
      <c r="A15" s="26" t="s">
        <v>31</v>
      </c>
      <c r="B15" s="40"/>
      <c r="C15" s="2" t="s">
        <v>35</v>
      </c>
      <c r="D15" s="2" t="s">
        <v>36</v>
      </c>
      <c r="E15" s="5" t="s">
        <v>37</v>
      </c>
      <c r="F15" s="5" t="s">
        <v>37</v>
      </c>
      <c r="G15" s="5" t="s">
        <v>37</v>
      </c>
      <c r="H15" s="5" t="s">
        <v>37</v>
      </c>
      <c r="I15" s="5" t="s">
        <v>37</v>
      </c>
      <c r="J15" s="5" t="s">
        <v>37</v>
      </c>
      <c r="K15" s="5" t="s">
        <v>37</v>
      </c>
      <c r="L15" s="5" t="s">
        <v>37</v>
      </c>
    </row>
    <row r="16" spans="1:12" s="36" customFormat="1" ht="30.6" customHeight="1" x14ac:dyDescent="0.2">
      <c r="A16" s="26" t="s">
        <v>31</v>
      </c>
      <c r="B16" s="40"/>
      <c r="C16" s="2" t="s">
        <v>38</v>
      </c>
      <c r="D16" s="2" t="s">
        <v>39</v>
      </c>
      <c r="E16" s="5" t="s">
        <v>37</v>
      </c>
      <c r="F16" s="5" t="s">
        <v>37</v>
      </c>
      <c r="G16" s="5" t="s">
        <v>37</v>
      </c>
      <c r="H16" s="5" t="s">
        <v>37</v>
      </c>
      <c r="I16" s="5" t="s">
        <v>37</v>
      </c>
      <c r="J16" s="5" t="s">
        <v>37</v>
      </c>
      <c r="K16" s="5" t="s">
        <v>37</v>
      </c>
      <c r="L16" s="5" t="s">
        <v>37</v>
      </c>
    </row>
    <row r="17" spans="1:12" s="36" customFormat="1" ht="30.6" customHeight="1" x14ac:dyDescent="0.2">
      <c r="A17" s="26" t="s">
        <v>31</v>
      </c>
      <c r="B17" s="40"/>
      <c r="C17" s="2" t="s">
        <v>40</v>
      </c>
      <c r="D17" s="2" t="s">
        <v>41</v>
      </c>
      <c r="E17" s="5" t="s">
        <v>37</v>
      </c>
      <c r="F17" s="5" t="s">
        <v>37</v>
      </c>
      <c r="G17" s="5" t="s">
        <v>37</v>
      </c>
      <c r="H17" s="5" t="s">
        <v>37</v>
      </c>
      <c r="I17" s="5" t="s">
        <v>37</v>
      </c>
      <c r="J17" s="5" t="s">
        <v>37</v>
      </c>
      <c r="K17" s="5" t="s">
        <v>37</v>
      </c>
      <c r="L17" s="5" t="s">
        <v>37</v>
      </c>
    </row>
    <row r="18" spans="1:12" s="36" customFormat="1" ht="30.6" customHeight="1" x14ac:dyDescent="0.2">
      <c r="A18" s="26" t="s">
        <v>31</v>
      </c>
      <c r="B18" s="39"/>
      <c r="C18" s="2" t="s">
        <v>42</v>
      </c>
      <c r="D18" s="2" t="s">
        <v>43</v>
      </c>
      <c r="E18" s="5" t="s">
        <v>37</v>
      </c>
      <c r="F18" s="5" t="s">
        <v>37</v>
      </c>
      <c r="G18" s="5" t="s">
        <v>37</v>
      </c>
      <c r="H18" s="5" t="s">
        <v>37</v>
      </c>
      <c r="I18" s="5" t="s">
        <v>37</v>
      </c>
      <c r="J18" s="5" t="s">
        <v>37</v>
      </c>
      <c r="K18" s="5" t="s">
        <v>37</v>
      </c>
      <c r="L18" s="5" t="s">
        <v>37</v>
      </c>
    </row>
    <row r="19" spans="1:12" s="36" customFormat="1" ht="30.6" customHeight="1" x14ac:dyDescent="0.2">
      <c r="A19" s="26" t="s">
        <v>44</v>
      </c>
      <c r="B19" s="41" t="s">
        <v>45</v>
      </c>
      <c r="C19" s="13" t="s">
        <v>170</v>
      </c>
      <c r="D19" s="3" t="s">
        <v>163</v>
      </c>
      <c r="E19" s="8">
        <v>5</v>
      </c>
      <c r="F19" s="8">
        <v>20</v>
      </c>
      <c r="G19" s="8">
        <v>30</v>
      </c>
      <c r="H19" s="8"/>
      <c r="I19" s="8">
        <v>15</v>
      </c>
      <c r="J19" s="8">
        <v>85</v>
      </c>
      <c r="K19" s="8">
        <v>120</v>
      </c>
      <c r="L19" s="30" t="s">
        <v>181</v>
      </c>
    </row>
    <row r="20" spans="1:12" s="45" customFormat="1" ht="11.25" customHeight="1" x14ac:dyDescent="0.15">
      <c r="A20" s="42" t="s">
        <v>46</v>
      </c>
      <c r="B20" s="43"/>
      <c r="C20" s="43"/>
      <c r="D20" s="44"/>
      <c r="E20" s="7">
        <f t="shared" ref="E20:K20" si="0">SUM(E9:E19)</f>
        <v>31</v>
      </c>
      <c r="F20" s="7">
        <f t="shared" si="0"/>
        <v>80</v>
      </c>
      <c r="G20" s="7">
        <f t="shared" si="0"/>
        <v>270</v>
      </c>
      <c r="H20" s="7">
        <f t="shared" si="0"/>
        <v>0</v>
      </c>
      <c r="I20" s="7">
        <f t="shared" si="0"/>
        <v>90</v>
      </c>
      <c r="J20" s="7">
        <f t="shared" si="0"/>
        <v>490</v>
      </c>
      <c r="K20" s="7">
        <f t="shared" si="0"/>
        <v>900</v>
      </c>
      <c r="L20" s="7" t="s">
        <v>47</v>
      </c>
    </row>
    <row r="21" spans="1:12" s="36" customFormat="1" ht="11.25" customHeight="1" x14ac:dyDescent="0.2">
      <c r="A21" s="42" t="s">
        <v>48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4"/>
    </row>
    <row r="22" spans="1:12" s="36" customFormat="1" ht="30.6" customHeight="1" x14ac:dyDescent="0.2">
      <c r="A22" s="26" t="s">
        <v>17</v>
      </c>
      <c r="B22" s="38" t="s">
        <v>24</v>
      </c>
      <c r="C22" s="2" t="s">
        <v>49</v>
      </c>
      <c r="D22" s="2" t="s">
        <v>26</v>
      </c>
      <c r="E22" s="5">
        <v>5</v>
      </c>
      <c r="F22" s="5"/>
      <c r="G22" s="5">
        <v>50</v>
      </c>
      <c r="H22" s="5"/>
      <c r="I22" s="5">
        <v>15</v>
      </c>
      <c r="J22" s="5">
        <v>85</v>
      </c>
      <c r="K22" s="5">
        <v>150</v>
      </c>
      <c r="L22" s="30" t="s">
        <v>181</v>
      </c>
    </row>
    <row r="23" spans="1:12" s="36" customFormat="1" ht="30.6" customHeight="1" x14ac:dyDescent="0.2">
      <c r="A23" s="26" t="s">
        <v>17</v>
      </c>
      <c r="B23" s="39"/>
      <c r="C23" s="2" t="s">
        <v>50</v>
      </c>
      <c r="D23" s="2" t="s">
        <v>28</v>
      </c>
      <c r="E23" s="5">
        <v>5</v>
      </c>
      <c r="F23" s="5"/>
      <c r="G23" s="5">
        <v>50</v>
      </c>
      <c r="H23" s="5"/>
      <c r="I23" s="5">
        <v>15</v>
      </c>
      <c r="J23" s="5">
        <v>85</v>
      </c>
      <c r="K23" s="5">
        <v>150</v>
      </c>
      <c r="L23" s="30" t="s">
        <v>181</v>
      </c>
    </row>
    <row r="24" spans="1:12" s="36" customFormat="1" ht="37.5" customHeight="1" x14ac:dyDescent="0.2">
      <c r="A24" s="26" t="s">
        <v>17</v>
      </c>
      <c r="B24" s="23" t="s">
        <v>180</v>
      </c>
      <c r="C24" s="2" t="s">
        <v>51</v>
      </c>
      <c r="D24" s="2" t="s">
        <v>30</v>
      </c>
      <c r="E24" s="5">
        <v>2</v>
      </c>
      <c r="F24" s="5"/>
      <c r="G24" s="5">
        <v>60</v>
      </c>
      <c r="H24" s="5"/>
      <c r="I24" s="5"/>
      <c r="J24" s="5"/>
      <c r="K24" s="5">
        <v>60</v>
      </c>
      <c r="L24" s="30" t="s">
        <v>181</v>
      </c>
    </row>
    <row r="25" spans="1:12" s="36" customFormat="1" ht="35.25" customHeight="1" x14ac:dyDescent="0.2">
      <c r="A25" s="26" t="s">
        <v>17</v>
      </c>
      <c r="B25" s="23" t="s">
        <v>180</v>
      </c>
      <c r="C25" s="2" t="s">
        <v>52</v>
      </c>
      <c r="D25" s="2" t="s">
        <v>53</v>
      </c>
      <c r="E25" s="5">
        <v>5</v>
      </c>
      <c r="F25" s="5">
        <v>20</v>
      </c>
      <c r="G25" s="5"/>
      <c r="H25" s="5">
        <v>30</v>
      </c>
      <c r="I25" s="5">
        <v>15</v>
      </c>
      <c r="J25" s="5">
        <v>85</v>
      </c>
      <c r="K25" s="5">
        <v>150</v>
      </c>
      <c r="L25" s="30" t="s">
        <v>181</v>
      </c>
    </row>
    <row r="26" spans="1:12" s="36" customFormat="1" ht="30.6" customHeight="1" x14ac:dyDescent="0.2">
      <c r="A26" s="26" t="s">
        <v>17</v>
      </c>
      <c r="B26" s="37" t="s">
        <v>21</v>
      </c>
      <c r="C26" s="2" t="s">
        <v>54</v>
      </c>
      <c r="D26" s="2" t="s">
        <v>55</v>
      </c>
      <c r="E26" s="5">
        <v>4</v>
      </c>
      <c r="F26" s="5">
        <v>20</v>
      </c>
      <c r="G26" s="5">
        <v>20</v>
      </c>
      <c r="H26" s="5"/>
      <c r="I26" s="5">
        <v>15</v>
      </c>
      <c r="J26" s="5">
        <v>65</v>
      </c>
      <c r="K26" s="5">
        <v>120</v>
      </c>
      <c r="L26" s="30" t="s">
        <v>181</v>
      </c>
    </row>
    <row r="27" spans="1:12" s="36" customFormat="1" ht="30.6" customHeight="1" x14ac:dyDescent="0.2">
      <c r="A27" s="26" t="s">
        <v>44</v>
      </c>
      <c r="B27" s="38" t="s">
        <v>56</v>
      </c>
      <c r="C27" s="12" t="s">
        <v>57</v>
      </c>
      <c r="D27" s="2" t="s">
        <v>58</v>
      </c>
      <c r="E27" s="5">
        <v>7</v>
      </c>
      <c r="F27" s="5">
        <v>30</v>
      </c>
      <c r="G27" s="5">
        <v>50</v>
      </c>
      <c r="H27" s="5"/>
      <c r="I27" s="5">
        <v>15</v>
      </c>
      <c r="J27" s="5">
        <v>145</v>
      </c>
      <c r="K27" s="5">
        <v>240</v>
      </c>
      <c r="L27" s="30" t="s">
        <v>181</v>
      </c>
    </row>
    <row r="28" spans="1:12" s="36" customFormat="1" ht="42" customHeight="1" x14ac:dyDescent="0.2">
      <c r="A28" s="26" t="s">
        <v>44</v>
      </c>
      <c r="B28" s="39"/>
      <c r="C28" s="15" t="s">
        <v>178</v>
      </c>
      <c r="D28" s="2" t="s">
        <v>59</v>
      </c>
      <c r="E28" s="5">
        <v>1</v>
      </c>
      <c r="F28" s="5"/>
      <c r="G28" s="5">
        <v>30</v>
      </c>
      <c r="H28" s="5"/>
      <c r="I28" s="5"/>
      <c r="J28" s="5"/>
      <c r="K28" s="5">
        <v>30</v>
      </c>
      <c r="L28" s="20" t="s">
        <v>167</v>
      </c>
    </row>
    <row r="29" spans="1:12" s="45" customFormat="1" ht="11.25" customHeight="1" x14ac:dyDescent="0.15">
      <c r="A29" s="42" t="s">
        <v>60</v>
      </c>
      <c r="B29" s="43"/>
      <c r="C29" s="43"/>
      <c r="D29" s="44"/>
      <c r="E29" s="7">
        <f t="shared" ref="E29:K29" si="1">SUM(E22:E28)</f>
        <v>29</v>
      </c>
      <c r="F29" s="7">
        <f t="shared" si="1"/>
        <v>70</v>
      </c>
      <c r="G29" s="7">
        <f t="shared" si="1"/>
        <v>260</v>
      </c>
      <c r="H29" s="7">
        <f t="shared" si="1"/>
        <v>30</v>
      </c>
      <c r="I29" s="7">
        <f t="shared" si="1"/>
        <v>75</v>
      </c>
      <c r="J29" s="7">
        <f t="shared" si="1"/>
        <v>465</v>
      </c>
      <c r="K29" s="7">
        <f t="shared" si="1"/>
        <v>900</v>
      </c>
      <c r="L29" s="7" t="s">
        <v>47</v>
      </c>
    </row>
    <row r="30" spans="1:12" s="46" customFormat="1" ht="11.25" customHeight="1" x14ac:dyDescent="0.15">
      <c r="A30" s="42" t="s">
        <v>61</v>
      </c>
      <c r="B30" s="43"/>
      <c r="C30" s="43"/>
      <c r="D30" s="44"/>
      <c r="E30" s="7">
        <f t="shared" ref="E30:K30" si="2">E20+E29</f>
        <v>60</v>
      </c>
      <c r="F30" s="7">
        <f t="shared" si="2"/>
        <v>150</v>
      </c>
      <c r="G30" s="7">
        <f t="shared" si="2"/>
        <v>530</v>
      </c>
      <c r="H30" s="7">
        <f t="shared" si="2"/>
        <v>30</v>
      </c>
      <c r="I30" s="7">
        <f t="shared" si="2"/>
        <v>165</v>
      </c>
      <c r="J30" s="7">
        <f t="shared" si="2"/>
        <v>955</v>
      </c>
      <c r="K30" s="7">
        <f t="shared" si="2"/>
        <v>1800</v>
      </c>
      <c r="L30" s="7" t="s">
        <v>62</v>
      </c>
    </row>
    <row r="31" spans="1:12" s="36" customFormat="1" ht="11.25" customHeight="1" x14ac:dyDescent="0.2">
      <c r="A31" s="42" t="s">
        <v>63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4"/>
    </row>
    <row r="32" spans="1:12" s="36" customFormat="1" ht="11.25" customHeight="1" x14ac:dyDescent="0.2">
      <c r="A32" s="42" t="s">
        <v>64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4"/>
    </row>
    <row r="33" spans="1:12" s="36" customFormat="1" ht="31.5" customHeight="1" x14ac:dyDescent="0.2">
      <c r="A33" s="26" t="s">
        <v>65</v>
      </c>
      <c r="B33" s="47" t="s">
        <v>66</v>
      </c>
      <c r="C33" s="12" t="s">
        <v>67</v>
      </c>
      <c r="D33" s="2" t="s">
        <v>68</v>
      </c>
      <c r="E33" s="3">
        <v>5</v>
      </c>
      <c r="F33" s="3">
        <v>20</v>
      </c>
      <c r="G33" s="3">
        <v>30</v>
      </c>
      <c r="H33" s="3"/>
      <c r="I33" s="3">
        <v>15</v>
      </c>
      <c r="J33" s="3">
        <v>85</v>
      </c>
      <c r="K33" s="3">
        <f>E33*30</f>
        <v>150</v>
      </c>
      <c r="L33" s="30" t="s">
        <v>181</v>
      </c>
    </row>
    <row r="34" spans="1:12" s="36" customFormat="1" ht="36.75" customHeight="1" x14ac:dyDescent="0.2">
      <c r="A34" s="26" t="s">
        <v>65</v>
      </c>
      <c r="B34" s="48"/>
      <c r="C34" s="12" t="s">
        <v>69</v>
      </c>
      <c r="D34" s="2" t="s">
        <v>70</v>
      </c>
      <c r="E34" s="2" t="s">
        <v>37</v>
      </c>
      <c r="F34" s="2" t="s">
        <v>37</v>
      </c>
      <c r="G34" s="2" t="s">
        <v>37</v>
      </c>
      <c r="H34" s="2" t="s">
        <v>37</v>
      </c>
      <c r="I34" s="2" t="s">
        <v>37</v>
      </c>
      <c r="J34" s="2" t="s">
        <v>37</v>
      </c>
      <c r="K34" s="2" t="s">
        <v>37</v>
      </c>
      <c r="L34" s="2" t="s">
        <v>37</v>
      </c>
    </row>
    <row r="35" spans="1:12" s="36" customFormat="1" ht="30.6" customHeight="1" x14ac:dyDescent="0.2">
      <c r="A35" s="26" t="s">
        <v>44</v>
      </c>
      <c r="B35" s="49" t="s">
        <v>45</v>
      </c>
      <c r="C35" s="13" t="s">
        <v>165</v>
      </c>
      <c r="D35" s="3" t="s">
        <v>164</v>
      </c>
      <c r="E35" s="3">
        <v>5</v>
      </c>
      <c r="F35" s="2">
        <v>20</v>
      </c>
      <c r="G35" s="2">
        <v>30</v>
      </c>
      <c r="H35" s="2"/>
      <c r="I35" s="2">
        <v>15</v>
      </c>
      <c r="J35" s="2">
        <v>85</v>
      </c>
      <c r="K35" s="3">
        <f t="shared" ref="K35" si="3">E35*30</f>
        <v>150</v>
      </c>
      <c r="L35" s="30" t="s">
        <v>181</v>
      </c>
    </row>
    <row r="36" spans="1:12" s="36" customFormat="1" ht="30.6" customHeight="1" x14ac:dyDescent="0.2">
      <c r="A36" s="26" t="s">
        <v>44</v>
      </c>
      <c r="B36" s="50" t="s">
        <v>71</v>
      </c>
      <c r="C36" s="12" t="s">
        <v>72</v>
      </c>
      <c r="D36" s="2" t="s">
        <v>73</v>
      </c>
      <c r="E36" s="2">
        <v>3</v>
      </c>
      <c r="F36" s="2">
        <v>15</v>
      </c>
      <c r="G36" s="2">
        <v>15</v>
      </c>
      <c r="H36" s="2"/>
      <c r="I36" s="2">
        <v>15</v>
      </c>
      <c r="J36" s="2">
        <v>45</v>
      </c>
      <c r="K36" s="2">
        <f t="shared" ref="K36:K40" si="4">E36*30</f>
        <v>90</v>
      </c>
      <c r="L36" s="30" t="s">
        <v>181</v>
      </c>
    </row>
    <row r="37" spans="1:12" s="36" customFormat="1" ht="30.6" customHeight="1" x14ac:dyDescent="0.2">
      <c r="A37" s="26" t="s">
        <v>44</v>
      </c>
      <c r="B37" s="50" t="s">
        <v>74</v>
      </c>
      <c r="C37" s="12" t="s">
        <v>75</v>
      </c>
      <c r="D37" s="2" t="s">
        <v>76</v>
      </c>
      <c r="E37" s="2">
        <v>5</v>
      </c>
      <c r="F37" s="2">
        <v>20</v>
      </c>
      <c r="G37" s="2">
        <v>30</v>
      </c>
      <c r="H37" s="2"/>
      <c r="I37" s="2">
        <v>15</v>
      </c>
      <c r="J37" s="2">
        <v>85</v>
      </c>
      <c r="K37" s="2">
        <f t="shared" si="4"/>
        <v>150</v>
      </c>
      <c r="L37" s="30" t="s">
        <v>181</v>
      </c>
    </row>
    <row r="38" spans="1:12" s="36" customFormat="1" ht="35.25" customHeight="1" x14ac:dyDescent="0.2">
      <c r="A38" s="26" t="s">
        <v>17</v>
      </c>
      <c r="B38" s="23" t="s">
        <v>180</v>
      </c>
      <c r="C38" s="2" t="s">
        <v>77</v>
      </c>
      <c r="D38" s="2" t="s">
        <v>30</v>
      </c>
      <c r="E38" s="2">
        <v>2</v>
      </c>
      <c r="F38" s="2"/>
      <c r="G38" s="2">
        <v>60</v>
      </c>
      <c r="H38" s="2"/>
      <c r="I38" s="2"/>
      <c r="J38" s="2"/>
      <c r="K38" s="2">
        <f t="shared" si="4"/>
        <v>60</v>
      </c>
      <c r="L38" s="30" t="s">
        <v>181</v>
      </c>
    </row>
    <row r="39" spans="1:12" s="36" customFormat="1" ht="30.6" customHeight="1" x14ac:dyDescent="0.2">
      <c r="A39" s="26" t="s">
        <v>17</v>
      </c>
      <c r="B39" s="37" t="s">
        <v>21</v>
      </c>
      <c r="C39" s="2" t="s">
        <v>78</v>
      </c>
      <c r="D39" s="2" t="s">
        <v>79</v>
      </c>
      <c r="E39" s="2">
        <v>5</v>
      </c>
      <c r="F39" s="2">
        <v>20</v>
      </c>
      <c r="G39" s="2">
        <v>30</v>
      </c>
      <c r="H39" s="2"/>
      <c r="I39" s="2">
        <v>15</v>
      </c>
      <c r="J39" s="2">
        <v>85</v>
      </c>
      <c r="K39" s="2">
        <f t="shared" si="4"/>
        <v>150</v>
      </c>
      <c r="L39" s="30" t="s">
        <v>181</v>
      </c>
    </row>
    <row r="40" spans="1:12" s="36" customFormat="1" ht="30.6" customHeight="1" x14ac:dyDescent="0.2">
      <c r="A40" s="26" t="s">
        <v>44</v>
      </c>
      <c r="B40" s="37" t="s">
        <v>80</v>
      </c>
      <c r="C40" s="2" t="s">
        <v>81</v>
      </c>
      <c r="D40" s="2" t="s">
        <v>80</v>
      </c>
      <c r="E40" s="2">
        <v>5</v>
      </c>
      <c r="F40" s="2">
        <v>20</v>
      </c>
      <c r="G40" s="2">
        <v>30</v>
      </c>
      <c r="H40" s="2"/>
      <c r="I40" s="2">
        <v>15</v>
      </c>
      <c r="J40" s="2">
        <v>85</v>
      </c>
      <c r="K40" s="2">
        <f t="shared" si="4"/>
        <v>150</v>
      </c>
      <c r="L40" s="30" t="s">
        <v>181</v>
      </c>
    </row>
    <row r="41" spans="1:12" s="45" customFormat="1" ht="11.25" customHeight="1" x14ac:dyDescent="0.15">
      <c r="A41" s="42" t="s">
        <v>82</v>
      </c>
      <c r="B41" s="43"/>
      <c r="C41" s="43"/>
      <c r="D41" s="44"/>
      <c r="E41" s="51">
        <f t="shared" ref="E41:K41" si="5">SUM(E33:E40)</f>
        <v>30</v>
      </c>
      <c r="F41" s="51">
        <f t="shared" si="5"/>
        <v>115</v>
      </c>
      <c r="G41" s="51">
        <f t="shared" si="5"/>
        <v>225</v>
      </c>
      <c r="H41" s="51">
        <f t="shared" si="5"/>
        <v>0</v>
      </c>
      <c r="I41" s="51">
        <f t="shared" si="5"/>
        <v>90</v>
      </c>
      <c r="J41" s="51">
        <f t="shared" si="5"/>
        <v>470</v>
      </c>
      <c r="K41" s="51">
        <f t="shared" si="5"/>
        <v>900</v>
      </c>
      <c r="L41" s="51">
        <v>7</v>
      </c>
    </row>
    <row r="42" spans="1:12" s="36" customFormat="1" ht="11.25" customHeight="1" x14ac:dyDescent="0.2">
      <c r="A42" s="42" t="s">
        <v>83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4"/>
    </row>
    <row r="43" spans="1:12" s="36" customFormat="1" ht="36.75" customHeight="1" x14ac:dyDescent="0.2">
      <c r="A43" s="26" t="s">
        <v>17</v>
      </c>
      <c r="B43" s="23" t="s">
        <v>180</v>
      </c>
      <c r="C43" s="2" t="s">
        <v>84</v>
      </c>
      <c r="D43" s="5" t="s">
        <v>30</v>
      </c>
      <c r="E43" s="5">
        <v>2</v>
      </c>
      <c r="F43" s="5"/>
      <c r="G43" s="5">
        <v>60</v>
      </c>
      <c r="H43" s="5"/>
      <c r="I43" s="5"/>
      <c r="J43" s="5"/>
      <c r="K43" s="5">
        <f t="shared" ref="K43:K49" si="6">E43*30</f>
        <v>60</v>
      </c>
      <c r="L43" s="30" t="s">
        <v>181</v>
      </c>
    </row>
    <row r="44" spans="1:12" s="36" customFormat="1" ht="30.6" customHeight="1" x14ac:dyDescent="0.2">
      <c r="A44" s="26" t="s">
        <v>44</v>
      </c>
      <c r="B44" s="37" t="s">
        <v>80</v>
      </c>
      <c r="C44" s="2" t="s">
        <v>81</v>
      </c>
      <c r="D44" s="5" t="s">
        <v>80</v>
      </c>
      <c r="E44" s="5">
        <v>5</v>
      </c>
      <c r="F44" s="5">
        <v>20</v>
      </c>
      <c r="G44" s="5">
        <v>30</v>
      </c>
      <c r="H44" s="5"/>
      <c r="I44" s="5">
        <v>15</v>
      </c>
      <c r="J44" s="5">
        <v>85</v>
      </c>
      <c r="K44" s="5">
        <f t="shared" si="6"/>
        <v>150</v>
      </c>
      <c r="L44" s="30" t="s">
        <v>181</v>
      </c>
    </row>
    <row r="45" spans="1:12" s="36" customFormat="1" ht="30.6" customHeight="1" x14ac:dyDescent="0.2">
      <c r="A45" s="26" t="s">
        <v>44</v>
      </c>
      <c r="B45" s="2" t="s">
        <v>85</v>
      </c>
      <c r="C45" s="12" t="s">
        <v>86</v>
      </c>
      <c r="D45" s="5" t="s">
        <v>87</v>
      </c>
      <c r="E45" s="5">
        <v>5</v>
      </c>
      <c r="F45" s="5">
        <v>20</v>
      </c>
      <c r="G45" s="5">
        <v>30</v>
      </c>
      <c r="H45" s="5"/>
      <c r="I45" s="5">
        <v>15</v>
      </c>
      <c r="J45" s="5">
        <v>85</v>
      </c>
      <c r="K45" s="5">
        <f t="shared" si="6"/>
        <v>150</v>
      </c>
      <c r="L45" s="30" t="s">
        <v>181</v>
      </c>
    </row>
    <row r="46" spans="1:12" s="36" customFormat="1" ht="30.6" customHeight="1" x14ac:dyDescent="0.2">
      <c r="A46" s="26" t="s">
        <v>44</v>
      </c>
      <c r="B46" s="52" t="s">
        <v>88</v>
      </c>
      <c r="C46" s="12" t="s">
        <v>89</v>
      </c>
      <c r="D46" s="5" t="s">
        <v>90</v>
      </c>
      <c r="E46" s="5">
        <v>5</v>
      </c>
      <c r="F46" s="5">
        <v>20</v>
      </c>
      <c r="G46" s="5">
        <v>30</v>
      </c>
      <c r="H46" s="5"/>
      <c r="I46" s="5">
        <v>15</v>
      </c>
      <c r="J46" s="5">
        <v>85</v>
      </c>
      <c r="K46" s="5">
        <f t="shared" si="6"/>
        <v>150</v>
      </c>
      <c r="L46" s="30" t="s">
        <v>181</v>
      </c>
    </row>
    <row r="47" spans="1:12" s="36" customFormat="1" ht="30.6" customHeight="1" x14ac:dyDescent="0.2">
      <c r="A47" s="26" t="s">
        <v>44</v>
      </c>
      <c r="B47" s="14" t="s">
        <v>91</v>
      </c>
      <c r="C47" s="12" t="s">
        <v>92</v>
      </c>
      <c r="D47" s="5" t="s">
        <v>93</v>
      </c>
      <c r="E47" s="5">
        <v>5</v>
      </c>
      <c r="F47" s="5">
        <v>20</v>
      </c>
      <c r="G47" s="5">
        <v>30</v>
      </c>
      <c r="H47" s="5"/>
      <c r="I47" s="5">
        <v>15</v>
      </c>
      <c r="J47" s="5">
        <v>85</v>
      </c>
      <c r="K47" s="5">
        <f t="shared" si="6"/>
        <v>150</v>
      </c>
      <c r="L47" s="30" t="s">
        <v>181</v>
      </c>
    </row>
    <row r="48" spans="1:12" s="36" customFormat="1" ht="30.6" customHeight="1" x14ac:dyDescent="0.2">
      <c r="A48" s="26" t="s">
        <v>44</v>
      </c>
      <c r="B48" s="14" t="s">
        <v>91</v>
      </c>
      <c r="C48" s="12" t="s">
        <v>171</v>
      </c>
      <c r="D48" s="5" t="s">
        <v>94</v>
      </c>
      <c r="E48" s="5">
        <v>5</v>
      </c>
      <c r="F48" s="5">
        <v>20</v>
      </c>
      <c r="G48" s="5">
        <v>30</v>
      </c>
      <c r="H48" s="5"/>
      <c r="I48" s="5">
        <v>15</v>
      </c>
      <c r="J48" s="5">
        <v>85</v>
      </c>
      <c r="K48" s="5">
        <f t="shared" si="6"/>
        <v>150</v>
      </c>
      <c r="L48" s="30" t="s">
        <v>181</v>
      </c>
    </row>
    <row r="49" spans="1:12" s="36" customFormat="1" ht="42.75" customHeight="1" x14ac:dyDescent="0.2">
      <c r="A49" s="25" t="s">
        <v>44</v>
      </c>
      <c r="B49" s="14" t="s">
        <v>172</v>
      </c>
      <c r="C49" s="6" t="s">
        <v>176</v>
      </c>
      <c r="D49" s="16" t="s">
        <v>177</v>
      </c>
      <c r="E49" s="5">
        <v>3</v>
      </c>
      <c r="F49" s="5"/>
      <c r="G49" s="5">
        <v>90</v>
      </c>
      <c r="H49" s="5"/>
      <c r="I49" s="5"/>
      <c r="J49" s="5"/>
      <c r="K49" s="5">
        <f t="shared" si="6"/>
        <v>90</v>
      </c>
      <c r="L49" s="19" t="s">
        <v>167</v>
      </c>
    </row>
    <row r="50" spans="1:12" s="45" customFormat="1" ht="11.25" customHeight="1" x14ac:dyDescent="0.15">
      <c r="A50" s="42" t="s">
        <v>95</v>
      </c>
      <c r="B50" s="43"/>
      <c r="C50" s="43"/>
      <c r="D50" s="44"/>
      <c r="E50" s="7">
        <f t="shared" ref="E50:K50" si="7">SUM(E43:E49)</f>
        <v>30</v>
      </c>
      <c r="F50" s="7">
        <f t="shared" si="7"/>
        <v>100</v>
      </c>
      <c r="G50" s="7">
        <f t="shared" si="7"/>
        <v>300</v>
      </c>
      <c r="H50" s="7">
        <f t="shared" si="7"/>
        <v>0</v>
      </c>
      <c r="I50" s="7">
        <f t="shared" si="7"/>
        <v>75</v>
      </c>
      <c r="J50" s="7">
        <f t="shared" si="7"/>
        <v>425</v>
      </c>
      <c r="K50" s="7">
        <f t="shared" si="7"/>
        <v>900</v>
      </c>
      <c r="L50" s="7">
        <v>7</v>
      </c>
    </row>
    <row r="51" spans="1:12" s="46" customFormat="1" ht="11.25" customHeight="1" x14ac:dyDescent="0.15">
      <c r="A51" s="42" t="s">
        <v>97</v>
      </c>
      <c r="B51" s="43"/>
      <c r="C51" s="43"/>
      <c r="D51" s="44"/>
      <c r="E51" s="7">
        <f t="shared" ref="E51:K51" si="8">E41+E50</f>
        <v>60</v>
      </c>
      <c r="F51" s="7">
        <f t="shared" si="8"/>
        <v>215</v>
      </c>
      <c r="G51" s="7">
        <f t="shared" si="8"/>
        <v>525</v>
      </c>
      <c r="H51" s="7">
        <f t="shared" si="8"/>
        <v>0</v>
      </c>
      <c r="I51" s="7">
        <f t="shared" si="8"/>
        <v>165</v>
      </c>
      <c r="J51" s="7">
        <f t="shared" si="8"/>
        <v>895</v>
      </c>
      <c r="K51" s="7">
        <f t="shared" si="8"/>
        <v>1800</v>
      </c>
      <c r="L51" s="7">
        <v>14</v>
      </c>
    </row>
    <row r="52" spans="1:12" s="36" customFormat="1" ht="11.25" customHeight="1" x14ac:dyDescent="0.2">
      <c r="A52" s="42" t="s">
        <v>99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4"/>
    </row>
    <row r="53" spans="1:12" s="36" customFormat="1" ht="11.25" customHeight="1" x14ac:dyDescent="0.2">
      <c r="A53" s="42" t="s">
        <v>100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4"/>
    </row>
    <row r="54" spans="1:12" s="36" customFormat="1" ht="40.9" customHeight="1" x14ac:dyDescent="0.2">
      <c r="A54" s="26" t="s">
        <v>44</v>
      </c>
      <c r="B54" s="50" t="s">
        <v>101</v>
      </c>
      <c r="C54" s="12" t="s">
        <v>102</v>
      </c>
      <c r="D54" s="5" t="s">
        <v>103</v>
      </c>
      <c r="E54" s="2">
        <v>5</v>
      </c>
      <c r="F54" s="2">
        <v>20</v>
      </c>
      <c r="G54" s="2">
        <v>30</v>
      </c>
      <c r="H54" s="2"/>
      <c r="I54" s="2">
        <v>15</v>
      </c>
      <c r="J54" s="2">
        <v>85</v>
      </c>
      <c r="K54" s="2">
        <f>E54*30</f>
        <v>150</v>
      </c>
      <c r="L54" s="30" t="s">
        <v>181</v>
      </c>
    </row>
    <row r="55" spans="1:12" s="36" customFormat="1" ht="30.6" customHeight="1" x14ac:dyDescent="0.2">
      <c r="A55" s="26" t="s">
        <v>104</v>
      </c>
      <c r="B55" s="47" t="s">
        <v>88</v>
      </c>
      <c r="C55" s="2" t="s">
        <v>105</v>
      </c>
      <c r="D55" s="10" t="s">
        <v>106</v>
      </c>
      <c r="E55" s="5">
        <v>5</v>
      </c>
      <c r="F55" s="5">
        <v>20</v>
      </c>
      <c r="G55" s="5">
        <v>30</v>
      </c>
      <c r="H55" s="5"/>
      <c r="I55" s="5">
        <v>15</v>
      </c>
      <c r="J55" s="5">
        <v>85</v>
      </c>
      <c r="K55" s="5">
        <f>E55*30</f>
        <v>150</v>
      </c>
      <c r="L55" s="30" t="s">
        <v>181</v>
      </c>
    </row>
    <row r="56" spans="1:12" s="36" customFormat="1" ht="45.75" customHeight="1" x14ac:dyDescent="0.2">
      <c r="A56" s="26" t="s">
        <v>104</v>
      </c>
      <c r="B56" s="48"/>
      <c r="C56" s="2" t="s">
        <v>107</v>
      </c>
      <c r="D56" s="9" t="s">
        <v>161</v>
      </c>
      <c r="E56" s="5" t="s">
        <v>37</v>
      </c>
      <c r="F56" s="5" t="s">
        <v>37</v>
      </c>
      <c r="G56" s="5" t="s">
        <v>37</v>
      </c>
      <c r="H56" s="5" t="s">
        <v>37</v>
      </c>
      <c r="I56" s="5" t="s">
        <v>37</v>
      </c>
      <c r="J56" s="5" t="s">
        <v>37</v>
      </c>
      <c r="K56" s="5" t="s">
        <v>37</v>
      </c>
      <c r="L56" s="5" t="s">
        <v>37</v>
      </c>
    </row>
    <row r="57" spans="1:12" s="36" customFormat="1" ht="45.75" customHeight="1" x14ac:dyDescent="0.2">
      <c r="A57" s="25" t="s">
        <v>65</v>
      </c>
      <c r="B57" s="47" t="s">
        <v>101</v>
      </c>
      <c r="C57" s="12" t="s">
        <v>108</v>
      </c>
      <c r="D57" s="2" t="s">
        <v>109</v>
      </c>
      <c r="E57" s="5">
        <v>5</v>
      </c>
      <c r="F57" s="5">
        <v>20</v>
      </c>
      <c r="G57" s="5">
        <v>30</v>
      </c>
      <c r="H57" s="5"/>
      <c r="I57" s="5">
        <v>15</v>
      </c>
      <c r="J57" s="5">
        <v>85</v>
      </c>
      <c r="K57" s="5">
        <f>E57*30</f>
        <v>150</v>
      </c>
      <c r="L57" s="30" t="s">
        <v>181</v>
      </c>
    </row>
    <row r="58" spans="1:12" s="36" customFormat="1" ht="45.75" customHeight="1" x14ac:dyDescent="0.2">
      <c r="A58" s="25" t="s">
        <v>65</v>
      </c>
      <c r="B58" s="48"/>
      <c r="C58" s="12" t="s">
        <v>110</v>
      </c>
      <c r="D58" s="2" t="s">
        <v>111</v>
      </c>
      <c r="E58" s="5" t="s">
        <v>37</v>
      </c>
      <c r="F58" s="5" t="s">
        <v>37</v>
      </c>
      <c r="G58" s="5" t="s">
        <v>37</v>
      </c>
      <c r="H58" s="5" t="s">
        <v>37</v>
      </c>
      <c r="I58" s="5" t="s">
        <v>37</v>
      </c>
      <c r="J58" s="5" t="s">
        <v>37</v>
      </c>
      <c r="K58" s="5" t="s">
        <v>37</v>
      </c>
      <c r="L58" s="5" t="s">
        <v>37</v>
      </c>
    </row>
    <row r="59" spans="1:12" s="36" customFormat="1" ht="30.6" customHeight="1" x14ac:dyDescent="0.2">
      <c r="A59" s="26" t="s">
        <v>44</v>
      </c>
      <c r="B59" s="47" t="s">
        <v>56</v>
      </c>
      <c r="C59" s="11" t="s">
        <v>190</v>
      </c>
      <c r="D59" s="2" t="s">
        <v>112</v>
      </c>
      <c r="E59" s="5">
        <v>5</v>
      </c>
      <c r="F59" s="5">
        <v>20</v>
      </c>
      <c r="G59" s="5">
        <v>30</v>
      </c>
      <c r="H59" s="5"/>
      <c r="I59" s="5">
        <v>15</v>
      </c>
      <c r="J59" s="5">
        <v>85</v>
      </c>
      <c r="K59" s="5">
        <f>E59*30</f>
        <v>150</v>
      </c>
      <c r="L59" s="30" t="s">
        <v>181</v>
      </c>
    </row>
    <row r="60" spans="1:12" s="36" customFormat="1" ht="30.6" customHeight="1" x14ac:dyDescent="0.2">
      <c r="A60" s="26" t="s">
        <v>44</v>
      </c>
      <c r="B60" s="48"/>
      <c r="C60" s="11" t="s">
        <v>191</v>
      </c>
      <c r="D60" s="2" t="s">
        <v>113</v>
      </c>
      <c r="E60" s="5">
        <v>5</v>
      </c>
      <c r="F60" s="5">
        <v>20</v>
      </c>
      <c r="G60" s="5">
        <v>30</v>
      </c>
      <c r="H60" s="5"/>
      <c r="I60" s="5">
        <v>15</v>
      </c>
      <c r="J60" s="5">
        <v>85</v>
      </c>
      <c r="K60" s="5">
        <f>E60*30</f>
        <v>150</v>
      </c>
      <c r="L60" s="30" t="s">
        <v>181</v>
      </c>
    </row>
    <row r="61" spans="1:12" s="36" customFormat="1" ht="30.6" customHeight="1" x14ac:dyDescent="0.2">
      <c r="A61" s="26" t="s">
        <v>44</v>
      </c>
      <c r="B61" s="37" t="s">
        <v>80</v>
      </c>
      <c r="C61" s="4" t="s">
        <v>114</v>
      </c>
      <c r="D61" s="2" t="s">
        <v>80</v>
      </c>
      <c r="E61" s="5">
        <v>5</v>
      </c>
      <c r="F61" s="5">
        <v>20</v>
      </c>
      <c r="G61" s="5">
        <v>30</v>
      </c>
      <c r="H61" s="5"/>
      <c r="I61" s="5">
        <v>15</v>
      </c>
      <c r="J61" s="5">
        <v>85</v>
      </c>
      <c r="K61" s="5">
        <f>E61*30</f>
        <v>150</v>
      </c>
      <c r="L61" s="30" t="s">
        <v>181</v>
      </c>
    </row>
    <row r="62" spans="1:12" s="45" customFormat="1" ht="11.25" customHeight="1" x14ac:dyDescent="0.15">
      <c r="A62" s="42" t="s">
        <v>115</v>
      </c>
      <c r="B62" s="43"/>
      <c r="C62" s="43"/>
      <c r="D62" s="44"/>
      <c r="E62" s="7">
        <f t="shared" ref="E62:K62" si="9">SUM(E54:E61)</f>
        <v>30</v>
      </c>
      <c r="F62" s="7">
        <f t="shared" si="9"/>
        <v>120</v>
      </c>
      <c r="G62" s="7">
        <f t="shared" si="9"/>
        <v>180</v>
      </c>
      <c r="H62" s="7">
        <f t="shared" si="9"/>
        <v>0</v>
      </c>
      <c r="I62" s="7">
        <f t="shared" si="9"/>
        <v>90</v>
      </c>
      <c r="J62" s="7">
        <f t="shared" si="9"/>
        <v>510</v>
      </c>
      <c r="K62" s="7">
        <f t="shared" si="9"/>
        <v>900</v>
      </c>
      <c r="L62" s="7" t="s">
        <v>96</v>
      </c>
    </row>
    <row r="63" spans="1:12" s="36" customFormat="1" ht="11.25" customHeight="1" x14ac:dyDescent="0.2">
      <c r="A63" s="42" t="s">
        <v>116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4"/>
    </row>
    <row r="64" spans="1:12" s="36" customFormat="1" ht="33.75" customHeight="1" x14ac:dyDescent="0.2">
      <c r="A64" s="26" t="s">
        <v>44</v>
      </c>
      <c r="B64" s="38" t="s">
        <v>101</v>
      </c>
      <c r="C64" s="6" t="s">
        <v>175</v>
      </c>
      <c r="D64" s="2" t="s">
        <v>117</v>
      </c>
      <c r="E64" s="5">
        <v>5</v>
      </c>
      <c r="F64" s="5">
        <v>20</v>
      </c>
      <c r="G64" s="5">
        <v>30</v>
      </c>
      <c r="H64" s="5"/>
      <c r="I64" s="5">
        <v>15</v>
      </c>
      <c r="J64" s="5">
        <v>85</v>
      </c>
      <c r="K64" s="5">
        <v>150</v>
      </c>
      <c r="L64" s="30" t="s">
        <v>181</v>
      </c>
    </row>
    <row r="65" spans="1:12" s="36" customFormat="1" ht="30.6" customHeight="1" x14ac:dyDescent="0.2">
      <c r="A65" s="26" t="s">
        <v>104</v>
      </c>
      <c r="B65" s="40"/>
      <c r="C65" s="2" t="s">
        <v>118</v>
      </c>
      <c r="D65" s="2" t="s">
        <v>119</v>
      </c>
      <c r="E65" s="5">
        <v>5</v>
      </c>
      <c r="F65" s="5">
        <v>20</v>
      </c>
      <c r="G65" s="5">
        <v>30</v>
      </c>
      <c r="H65" s="5"/>
      <c r="I65" s="5">
        <v>15</v>
      </c>
      <c r="J65" s="5">
        <v>85</v>
      </c>
      <c r="K65" s="5">
        <f>E65*30</f>
        <v>150</v>
      </c>
      <c r="L65" s="30" t="s">
        <v>181</v>
      </c>
    </row>
    <row r="66" spans="1:12" s="36" customFormat="1" ht="30.6" customHeight="1" x14ac:dyDescent="0.2">
      <c r="A66" s="26" t="s">
        <v>104</v>
      </c>
      <c r="B66" s="39"/>
      <c r="C66" s="2" t="s">
        <v>120</v>
      </c>
      <c r="D66" s="2" t="s">
        <v>121</v>
      </c>
      <c r="E66" s="5" t="s">
        <v>37</v>
      </c>
      <c r="F66" s="5" t="s">
        <v>37</v>
      </c>
      <c r="G66" s="5" t="s">
        <v>37</v>
      </c>
      <c r="H66" s="5" t="s">
        <v>37</v>
      </c>
      <c r="I66" s="5" t="s">
        <v>37</v>
      </c>
      <c r="J66" s="5" t="s">
        <v>37</v>
      </c>
      <c r="K66" s="5" t="s">
        <v>37</v>
      </c>
      <c r="L66" s="5" t="s">
        <v>37</v>
      </c>
    </row>
    <row r="67" spans="1:12" s="36" customFormat="1" ht="30.6" customHeight="1" x14ac:dyDescent="0.2">
      <c r="A67" s="26" t="s">
        <v>122</v>
      </c>
      <c r="B67" s="53" t="s">
        <v>18</v>
      </c>
      <c r="C67" s="2" t="s">
        <v>123</v>
      </c>
      <c r="D67" s="2" t="s">
        <v>124</v>
      </c>
      <c r="E67" s="5">
        <v>5</v>
      </c>
      <c r="F67" s="5">
        <v>20</v>
      </c>
      <c r="G67" s="5">
        <v>30</v>
      </c>
      <c r="H67" s="5"/>
      <c r="I67" s="5">
        <v>15</v>
      </c>
      <c r="J67" s="5">
        <v>85</v>
      </c>
      <c r="K67" s="5">
        <f>E67*30</f>
        <v>150</v>
      </c>
      <c r="L67" s="30" t="s">
        <v>181</v>
      </c>
    </row>
    <row r="68" spans="1:12" s="36" customFormat="1" ht="30.6" customHeight="1" x14ac:dyDescent="0.2">
      <c r="A68" s="26" t="s">
        <v>122</v>
      </c>
      <c r="B68" s="37" t="s">
        <v>80</v>
      </c>
      <c r="C68" s="2" t="s">
        <v>125</v>
      </c>
      <c r="D68" s="2" t="s">
        <v>80</v>
      </c>
      <c r="E68" s="5">
        <v>5</v>
      </c>
      <c r="F68" s="5">
        <v>20</v>
      </c>
      <c r="G68" s="5">
        <v>30</v>
      </c>
      <c r="H68" s="5"/>
      <c r="I68" s="5">
        <v>15</v>
      </c>
      <c r="J68" s="5">
        <v>85</v>
      </c>
      <c r="K68" s="5">
        <f>E68*30</f>
        <v>150</v>
      </c>
      <c r="L68" s="30" t="s">
        <v>181</v>
      </c>
    </row>
    <row r="69" spans="1:12" s="36" customFormat="1" ht="36.75" customHeight="1" x14ac:dyDescent="0.2">
      <c r="A69" s="26" t="s">
        <v>122</v>
      </c>
      <c r="B69" s="54" t="s">
        <v>101</v>
      </c>
      <c r="C69" s="2" t="s">
        <v>126</v>
      </c>
      <c r="D69" s="2" t="s">
        <v>127</v>
      </c>
      <c r="E69" s="5">
        <v>5</v>
      </c>
      <c r="F69" s="5">
        <v>20</v>
      </c>
      <c r="G69" s="5">
        <v>30</v>
      </c>
      <c r="H69" s="5"/>
      <c r="I69" s="5">
        <v>15</v>
      </c>
      <c r="J69" s="5">
        <v>85</v>
      </c>
      <c r="K69" s="5">
        <f>E69*30</f>
        <v>150</v>
      </c>
      <c r="L69" s="30" t="s">
        <v>181</v>
      </c>
    </row>
    <row r="70" spans="1:12" s="36" customFormat="1" ht="32.25" customHeight="1" x14ac:dyDescent="0.2">
      <c r="A70" s="26" t="s">
        <v>44</v>
      </c>
      <c r="B70" s="37" t="s">
        <v>66</v>
      </c>
      <c r="C70" s="6" t="s">
        <v>173</v>
      </c>
      <c r="D70" s="28" t="s">
        <v>174</v>
      </c>
      <c r="E70" s="5">
        <v>5</v>
      </c>
      <c r="F70" s="5"/>
      <c r="G70" s="5">
        <v>150</v>
      </c>
      <c r="H70" s="5"/>
      <c r="I70" s="5"/>
      <c r="J70" s="5"/>
      <c r="K70" s="5">
        <f>E70*30</f>
        <v>150</v>
      </c>
      <c r="L70" s="19" t="s">
        <v>167</v>
      </c>
    </row>
    <row r="71" spans="1:12" s="45" customFormat="1" ht="11.25" customHeight="1" x14ac:dyDescent="0.15">
      <c r="A71" s="42" t="s">
        <v>128</v>
      </c>
      <c r="B71" s="43"/>
      <c r="C71" s="43"/>
      <c r="D71" s="44"/>
      <c r="E71" s="7">
        <f t="shared" ref="E71:K71" si="10">SUM(E64:E70)</f>
        <v>30</v>
      </c>
      <c r="F71" s="7">
        <f t="shared" si="10"/>
        <v>100</v>
      </c>
      <c r="G71" s="7">
        <f t="shared" si="10"/>
        <v>300</v>
      </c>
      <c r="H71" s="7">
        <f t="shared" si="10"/>
        <v>0</v>
      </c>
      <c r="I71" s="7">
        <f t="shared" si="10"/>
        <v>75</v>
      </c>
      <c r="J71" s="7">
        <f t="shared" si="10"/>
        <v>425</v>
      </c>
      <c r="K71" s="7">
        <f t="shared" si="10"/>
        <v>900</v>
      </c>
      <c r="L71" s="7" t="s">
        <v>96</v>
      </c>
    </row>
    <row r="72" spans="1:12" s="46" customFormat="1" ht="11.25" customHeight="1" x14ac:dyDescent="0.15">
      <c r="A72" s="42" t="s">
        <v>129</v>
      </c>
      <c r="B72" s="43"/>
      <c r="C72" s="43"/>
      <c r="D72" s="44"/>
      <c r="E72" s="7">
        <f t="shared" ref="E72:K72" si="11">E62+E71</f>
        <v>60</v>
      </c>
      <c r="F72" s="7">
        <f t="shared" si="11"/>
        <v>220</v>
      </c>
      <c r="G72" s="7">
        <f t="shared" si="11"/>
        <v>480</v>
      </c>
      <c r="H72" s="7">
        <f t="shared" si="11"/>
        <v>0</v>
      </c>
      <c r="I72" s="7">
        <f t="shared" si="11"/>
        <v>165</v>
      </c>
      <c r="J72" s="7">
        <f t="shared" si="11"/>
        <v>935</v>
      </c>
      <c r="K72" s="7">
        <f t="shared" si="11"/>
        <v>1800</v>
      </c>
      <c r="L72" s="7" t="s">
        <v>98</v>
      </c>
    </row>
    <row r="73" spans="1:12" s="36" customFormat="1" ht="11.25" customHeight="1" x14ac:dyDescent="0.2">
      <c r="A73" s="42" t="s">
        <v>130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4"/>
    </row>
    <row r="74" spans="1:12" s="36" customFormat="1" ht="11.25" customHeight="1" x14ac:dyDescent="0.2">
      <c r="A74" s="42" t="s">
        <v>131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4"/>
    </row>
    <row r="75" spans="1:12" s="36" customFormat="1" ht="31.5" customHeight="1" x14ac:dyDescent="0.2">
      <c r="A75" s="2" t="s">
        <v>122</v>
      </c>
      <c r="B75" s="54" t="s">
        <v>132</v>
      </c>
      <c r="C75" s="3" t="s">
        <v>133</v>
      </c>
      <c r="D75" s="3" t="s">
        <v>134</v>
      </c>
      <c r="E75" s="8">
        <v>7</v>
      </c>
      <c r="F75" s="8">
        <v>30</v>
      </c>
      <c r="G75" s="8">
        <v>40</v>
      </c>
      <c r="H75" s="8"/>
      <c r="I75" s="8">
        <v>15</v>
      </c>
      <c r="J75" s="8">
        <v>125</v>
      </c>
      <c r="K75" s="8">
        <f>E75*30</f>
        <v>210</v>
      </c>
      <c r="L75" s="30" t="s">
        <v>181</v>
      </c>
    </row>
    <row r="76" spans="1:12" s="36" customFormat="1" ht="38.25" customHeight="1" x14ac:dyDescent="0.2">
      <c r="A76" s="26" t="s">
        <v>122</v>
      </c>
      <c r="B76" s="54" t="s">
        <v>135</v>
      </c>
      <c r="C76" s="2" t="s">
        <v>136</v>
      </c>
      <c r="D76" s="2" t="s">
        <v>137</v>
      </c>
      <c r="E76" s="5">
        <v>5</v>
      </c>
      <c r="F76" s="5">
        <v>20</v>
      </c>
      <c r="G76" s="5">
        <v>30</v>
      </c>
      <c r="H76" s="5"/>
      <c r="I76" s="5">
        <v>15</v>
      </c>
      <c r="J76" s="5">
        <v>85</v>
      </c>
      <c r="K76" s="5">
        <f>E76*30</f>
        <v>150</v>
      </c>
      <c r="L76" s="30" t="s">
        <v>181</v>
      </c>
    </row>
    <row r="77" spans="1:12" s="36" customFormat="1" ht="30.6" customHeight="1" x14ac:dyDescent="0.2">
      <c r="A77" s="26" t="s">
        <v>104</v>
      </c>
      <c r="B77" s="54" t="s">
        <v>66</v>
      </c>
      <c r="C77" s="2" t="s">
        <v>139</v>
      </c>
      <c r="D77" s="2" t="s">
        <v>140</v>
      </c>
      <c r="E77" s="5">
        <v>5</v>
      </c>
      <c r="F77" s="5">
        <v>20</v>
      </c>
      <c r="G77" s="5">
        <v>30</v>
      </c>
      <c r="H77" s="5"/>
      <c r="I77" s="5">
        <v>15</v>
      </c>
      <c r="J77" s="5">
        <v>85</v>
      </c>
      <c r="K77" s="5">
        <f>E77*30</f>
        <v>150</v>
      </c>
      <c r="L77" s="30" t="s">
        <v>181</v>
      </c>
    </row>
    <row r="78" spans="1:12" s="36" customFormat="1" ht="30.6" customHeight="1" x14ac:dyDescent="0.2">
      <c r="A78" s="26" t="s">
        <v>104</v>
      </c>
      <c r="B78" s="54" t="s">
        <v>66</v>
      </c>
      <c r="C78" s="2" t="s">
        <v>141</v>
      </c>
      <c r="D78" s="2" t="s">
        <v>142</v>
      </c>
      <c r="E78" s="5" t="s">
        <v>37</v>
      </c>
      <c r="F78" s="5" t="s">
        <v>37</v>
      </c>
      <c r="G78" s="5" t="s">
        <v>37</v>
      </c>
      <c r="H78" s="5" t="s">
        <v>37</v>
      </c>
      <c r="I78" s="5" t="s">
        <v>37</v>
      </c>
      <c r="J78" s="5" t="s">
        <v>37</v>
      </c>
      <c r="K78" s="5" t="s">
        <v>37</v>
      </c>
      <c r="L78" s="5" t="s">
        <v>37</v>
      </c>
    </row>
    <row r="79" spans="1:12" s="36" customFormat="1" ht="30.6" customHeight="1" x14ac:dyDescent="0.2">
      <c r="A79" s="24" t="s">
        <v>166</v>
      </c>
      <c r="B79" s="38" t="s">
        <v>132</v>
      </c>
      <c r="C79" s="3" t="s">
        <v>143</v>
      </c>
      <c r="D79" s="3" t="s">
        <v>144</v>
      </c>
      <c r="E79" s="8">
        <v>6</v>
      </c>
      <c r="F79" s="8">
        <v>30</v>
      </c>
      <c r="G79" s="8">
        <v>30</v>
      </c>
      <c r="H79" s="8"/>
      <c r="I79" s="8">
        <v>15</v>
      </c>
      <c r="J79" s="8">
        <v>105</v>
      </c>
      <c r="K79" s="8">
        <f>E79*30</f>
        <v>180</v>
      </c>
      <c r="L79" s="30" t="s">
        <v>181</v>
      </c>
    </row>
    <row r="80" spans="1:12" s="36" customFormat="1" ht="30.6" customHeight="1" x14ac:dyDescent="0.2">
      <c r="A80" s="26" t="s">
        <v>122</v>
      </c>
      <c r="B80" s="39"/>
      <c r="C80" s="2" t="s">
        <v>145</v>
      </c>
      <c r="D80" s="1" t="s">
        <v>162</v>
      </c>
      <c r="E80" s="5">
        <v>5</v>
      </c>
      <c r="F80" s="5">
        <v>20</v>
      </c>
      <c r="G80" s="5">
        <v>30</v>
      </c>
      <c r="H80" s="5"/>
      <c r="I80" s="5">
        <v>15</v>
      </c>
      <c r="J80" s="5">
        <v>85</v>
      </c>
      <c r="K80" s="5">
        <f>E80*30</f>
        <v>150</v>
      </c>
      <c r="L80" s="30" t="s">
        <v>181</v>
      </c>
    </row>
    <row r="81" spans="1:13" s="36" customFormat="1" ht="30.6" customHeight="1" x14ac:dyDescent="0.2">
      <c r="A81" s="26" t="s">
        <v>122</v>
      </c>
      <c r="B81" s="54" t="s">
        <v>66</v>
      </c>
      <c r="C81" s="91" t="s">
        <v>189</v>
      </c>
      <c r="D81" s="2" t="s">
        <v>138</v>
      </c>
      <c r="E81" s="5">
        <v>5</v>
      </c>
      <c r="F81" s="5">
        <v>20</v>
      </c>
      <c r="G81" s="5">
        <v>30</v>
      </c>
      <c r="H81" s="5"/>
      <c r="I81" s="5">
        <v>15</v>
      </c>
      <c r="J81" s="5">
        <v>85</v>
      </c>
      <c r="K81" s="5">
        <f>E81*30</f>
        <v>150</v>
      </c>
      <c r="L81" s="30" t="s">
        <v>181</v>
      </c>
    </row>
    <row r="82" spans="1:13" s="58" customFormat="1" ht="11.25" customHeight="1" x14ac:dyDescent="0.15">
      <c r="A82" s="55" t="s">
        <v>146</v>
      </c>
      <c r="B82" s="56"/>
      <c r="C82" s="56"/>
      <c r="D82" s="57"/>
      <c r="E82" s="18">
        <f>SUM(E75:E81)</f>
        <v>33</v>
      </c>
      <c r="F82" s="18">
        <f t="shared" ref="F82:K82" si="12">SUM(F75:F81)</f>
        <v>140</v>
      </c>
      <c r="G82" s="18">
        <f t="shared" si="12"/>
        <v>190</v>
      </c>
      <c r="H82" s="18">
        <f t="shared" si="12"/>
        <v>0</v>
      </c>
      <c r="I82" s="18">
        <f t="shared" si="12"/>
        <v>90</v>
      </c>
      <c r="J82" s="18">
        <f t="shared" si="12"/>
        <v>570</v>
      </c>
      <c r="K82" s="18">
        <f t="shared" si="12"/>
        <v>990</v>
      </c>
      <c r="L82" s="18">
        <v>6</v>
      </c>
    </row>
    <row r="83" spans="1:13" ht="11.25" customHeight="1" x14ac:dyDescent="0.2">
      <c r="A83" s="55" t="s">
        <v>147</v>
      </c>
      <c r="B83" s="56"/>
      <c r="C83" s="56"/>
      <c r="D83" s="56"/>
      <c r="E83" s="56"/>
      <c r="F83" s="56"/>
      <c r="G83" s="56"/>
      <c r="H83" s="56"/>
      <c r="I83" s="56"/>
      <c r="J83" s="56"/>
      <c r="K83" s="56"/>
      <c r="L83" s="57"/>
    </row>
    <row r="84" spans="1:13" ht="11.25" customHeight="1" x14ac:dyDescent="0.2">
      <c r="A84" s="59" t="s">
        <v>148</v>
      </c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</row>
    <row r="85" spans="1:13" ht="11.25" customHeight="1" x14ac:dyDescent="0.2">
      <c r="A85" s="60" t="s">
        <v>149</v>
      </c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</row>
    <row r="86" spans="1:13" ht="45" customHeight="1" x14ac:dyDescent="0.2">
      <c r="A86" s="24" t="s">
        <v>122</v>
      </c>
      <c r="B86" s="82" t="s">
        <v>56</v>
      </c>
      <c r="C86" s="89" t="s">
        <v>188</v>
      </c>
      <c r="D86" s="89" t="s">
        <v>184</v>
      </c>
      <c r="E86" s="4">
        <v>19</v>
      </c>
      <c r="F86" s="4"/>
      <c r="G86" s="4">
        <v>570</v>
      </c>
      <c r="H86" s="4"/>
      <c r="I86" s="4"/>
      <c r="J86" s="4"/>
      <c r="K86" s="4">
        <v>570</v>
      </c>
      <c r="L86" s="29" t="s">
        <v>167</v>
      </c>
    </row>
    <row r="87" spans="1:13" ht="11.25" customHeight="1" x14ac:dyDescent="0.2">
      <c r="A87" s="83" t="s">
        <v>150</v>
      </c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</row>
    <row r="88" spans="1:13" s="61" customFormat="1" ht="11.25" customHeight="1" x14ac:dyDescent="0.15">
      <c r="A88" s="55" t="s">
        <v>151</v>
      </c>
      <c r="B88" s="56"/>
      <c r="C88" s="56"/>
      <c r="D88" s="57"/>
      <c r="E88" s="32">
        <v>19</v>
      </c>
      <c r="F88" s="32"/>
      <c r="G88" s="32">
        <v>570</v>
      </c>
      <c r="H88" s="32"/>
      <c r="I88" s="32"/>
      <c r="J88" s="32"/>
      <c r="K88" s="32">
        <v>570</v>
      </c>
      <c r="L88" s="32" t="s">
        <v>152</v>
      </c>
    </row>
    <row r="89" spans="1:13" s="88" customFormat="1" ht="60" customHeight="1" x14ac:dyDescent="0.15">
      <c r="A89" s="30" t="s">
        <v>185</v>
      </c>
      <c r="B89" s="90" t="s">
        <v>74</v>
      </c>
      <c r="C89" s="85" t="s">
        <v>186</v>
      </c>
      <c r="D89" s="84" t="s">
        <v>187</v>
      </c>
      <c r="E89" s="86">
        <v>8</v>
      </c>
      <c r="F89" s="86"/>
      <c r="G89" s="86"/>
      <c r="H89" s="86"/>
      <c r="I89" s="86"/>
      <c r="J89" s="86"/>
      <c r="K89" s="86">
        <f>E89*30</f>
        <v>240</v>
      </c>
      <c r="L89" s="87" t="s">
        <v>153</v>
      </c>
    </row>
    <row r="90" spans="1:13" s="62" customFormat="1" ht="11.25" customHeight="1" x14ac:dyDescent="0.15">
      <c r="A90" s="55" t="s">
        <v>154</v>
      </c>
      <c r="B90" s="56"/>
      <c r="C90" s="56"/>
      <c r="D90" s="57"/>
      <c r="E90" s="92">
        <f>E88+E89</f>
        <v>27</v>
      </c>
      <c r="F90" s="92">
        <f t="shared" ref="F90:K90" si="13">F88+F89</f>
        <v>0</v>
      </c>
      <c r="G90" s="92">
        <f t="shared" si="13"/>
        <v>570</v>
      </c>
      <c r="H90" s="92">
        <f t="shared" si="13"/>
        <v>0</v>
      </c>
      <c r="I90" s="92">
        <f t="shared" si="13"/>
        <v>0</v>
      </c>
      <c r="J90" s="92">
        <f t="shared" si="13"/>
        <v>0</v>
      </c>
      <c r="K90" s="92">
        <f t="shared" si="13"/>
        <v>810</v>
      </c>
      <c r="L90" s="32">
        <v>2</v>
      </c>
    </row>
    <row r="91" spans="1:13" s="67" customFormat="1" ht="11.25" customHeight="1" x14ac:dyDescent="0.15">
      <c r="A91" s="63" t="s">
        <v>155</v>
      </c>
      <c r="B91" s="64"/>
      <c r="C91" s="64"/>
      <c r="D91" s="65"/>
      <c r="E91" s="93">
        <f>E82+E90</f>
        <v>60</v>
      </c>
      <c r="F91" s="93">
        <f t="shared" ref="F91:K91" si="14">F82+F90</f>
        <v>140</v>
      </c>
      <c r="G91" s="93">
        <f t="shared" si="14"/>
        <v>760</v>
      </c>
      <c r="H91" s="93">
        <f t="shared" si="14"/>
        <v>0</v>
      </c>
      <c r="I91" s="93">
        <f t="shared" si="14"/>
        <v>90</v>
      </c>
      <c r="J91" s="93">
        <f t="shared" si="14"/>
        <v>570</v>
      </c>
      <c r="K91" s="93">
        <f t="shared" si="14"/>
        <v>1800</v>
      </c>
      <c r="L91" s="66">
        <f>L82+L90</f>
        <v>8</v>
      </c>
      <c r="M91" s="67">
        <f>K91-SUM(F91:J91)</f>
        <v>240</v>
      </c>
    </row>
    <row r="92" spans="1:13" s="67" customFormat="1" ht="11.25" customHeight="1" x14ac:dyDescent="0.15">
      <c r="A92" s="68" t="s">
        <v>156</v>
      </c>
      <c r="B92" s="69"/>
      <c r="C92" s="69"/>
      <c r="D92" s="70"/>
      <c r="E92" s="94">
        <f>E30+E51+E72+E91</f>
        <v>240</v>
      </c>
      <c r="F92" s="94">
        <f>F30+F51+F72+F91</f>
        <v>725</v>
      </c>
      <c r="G92" s="94">
        <f>G30+G51+G72+G91</f>
        <v>2295</v>
      </c>
      <c r="H92" s="94">
        <f>H30+H51+H72+H91</f>
        <v>30</v>
      </c>
      <c r="I92" s="94">
        <f>I30+I51+I72+I91</f>
        <v>585</v>
      </c>
      <c r="J92" s="94">
        <f>J30+J51+J72+J91</f>
        <v>3355</v>
      </c>
      <c r="K92" s="94">
        <f>K30+K51+K72+K91</f>
        <v>7200</v>
      </c>
      <c r="L92" s="71">
        <f>L30+L51+L72+L91</f>
        <v>48</v>
      </c>
      <c r="M92" s="67">
        <f>K92-SUM(F92:J92)</f>
        <v>210</v>
      </c>
    </row>
    <row r="93" spans="1:13" s="72" customFormat="1" ht="5.25" customHeight="1" x14ac:dyDescent="0.2">
      <c r="D93" s="73"/>
    </row>
    <row r="94" spans="1:13" ht="13.9" customHeight="1" x14ac:dyDescent="0.2">
      <c r="A94" s="74" t="s">
        <v>157</v>
      </c>
      <c r="B94" s="74"/>
      <c r="C94" s="74"/>
      <c r="D94" s="75"/>
      <c r="E94" s="75"/>
      <c r="F94" s="75"/>
      <c r="G94" s="75"/>
      <c r="H94" s="75"/>
      <c r="I94" s="75"/>
      <c r="J94" s="75"/>
      <c r="K94" s="75"/>
      <c r="L94" s="75"/>
    </row>
    <row r="95" spans="1:13" s="72" customFormat="1" ht="13.15" customHeight="1" x14ac:dyDescent="0.2">
      <c r="A95" s="17"/>
      <c r="B95" s="17"/>
      <c r="C95" s="17"/>
      <c r="D95" s="17"/>
      <c r="E95" s="22" t="s">
        <v>168</v>
      </c>
      <c r="F95" s="22"/>
      <c r="G95" s="22"/>
      <c r="H95" s="22"/>
      <c r="I95" s="22"/>
      <c r="J95" s="22"/>
      <c r="K95" s="22"/>
      <c r="L95" s="22"/>
    </row>
    <row r="96" spans="1:13" ht="13.15" customHeight="1" x14ac:dyDescent="0.2">
      <c r="A96" s="76" t="s">
        <v>158</v>
      </c>
      <c r="B96" s="17"/>
      <c r="C96" s="17"/>
      <c r="D96" s="77"/>
      <c r="E96" s="22" t="s">
        <v>159</v>
      </c>
      <c r="F96" s="22"/>
      <c r="G96" s="22"/>
      <c r="H96" s="22"/>
      <c r="I96" s="22"/>
      <c r="J96" s="22"/>
      <c r="K96" s="22"/>
      <c r="L96" s="22"/>
    </row>
    <row r="97" spans="1:12" ht="11.25" customHeight="1" x14ac:dyDescent="0.2">
      <c r="A97" s="76"/>
      <c r="B97" s="78"/>
      <c r="C97" s="79"/>
      <c r="D97" s="77"/>
      <c r="E97" s="80"/>
      <c r="F97" s="80"/>
      <c r="G97" s="80"/>
      <c r="H97" s="80"/>
      <c r="I97" s="80"/>
      <c r="J97" s="80"/>
      <c r="K97" s="80"/>
      <c r="L97" s="80"/>
    </row>
    <row r="98" spans="1:12" ht="13.15" customHeight="1" x14ac:dyDescent="0.2">
      <c r="A98" s="22" t="s">
        <v>160</v>
      </c>
      <c r="B98" s="22"/>
      <c r="C98" s="22"/>
      <c r="D98" s="81"/>
      <c r="E98" s="22" t="s">
        <v>169</v>
      </c>
      <c r="F98" s="22"/>
      <c r="G98" s="22"/>
      <c r="H98" s="22"/>
      <c r="I98" s="22"/>
      <c r="J98" s="22"/>
      <c r="K98" s="22"/>
      <c r="L98" s="22"/>
    </row>
    <row r="99" spans="1:12" ht="13.15" customHeight="1" x14ac:dyDescent="0.2">
      <c r="D99" s="77"/>
      <c r="E99" s="22" t="s">
        <v>159</v>
      </c>
      <c r="F99" s="22"/>
      <c r="G99" s="22"/>
      <c r="H99" s="22"/>
      <c r="I99" s="22"/>
      <c r="J99" s="22"/>
      <c r="K99" s="22"/>
      <c r="L99" s="22"/>
    </row>
  </sheetData>
  <mergeCells count="52">
    <mergeCell ref="A98:C98"/>
    <mergeCell ref="E99:L99"/>
    <mergeCell ref="A94:C94"/>
    <mergeCell ref="E95:L95"/>
    <mergeCell ref="E96:L96"/>
    <mergeCell ref="E97:L97"/>
    <mergeCell ref="E98:L98"/>
    <mergeCell ref="D94:L94"/>
    <mergeCell ref="A92:D92"/>
    <mergeCell ref="A91:D91"/>
    <mergeCell ref="A90:D90"/>
    <mergeCell ref="A1:L1"/>
    <mergeCell ref="A2:L2"/>
    <mergeCell ref="A3:L3"/>
    <mergeCell ref="A4:L4"/>
    <mergeCell ref="A5:L5"/>
    <mergeCell ref="B11:B12"/>
    <mergeCell ref="A7:L7"/>
    <mergeCell ref="A8:L8"/>
    <mergeCell ref="A88:D88"/>
    <mergeCell ref="A87:L87"/>
    <mergeCell ref="A85:L85"/>
    <mergeCell ref="A84:L84"/>
    <mergeCell ref="A82:D82"/>
    <mergeCell ref="A32:L32"/>
    <mergeCell ref="A41:D41"/>
    <mergeCell ref="A42:L42"/>
    <mergeCell ref="A74:L74"/>
    <mergeCell ref="A83:L83"/>
    <mergeCell ref="A50:D50"/>
    <mergeCell ref="A51:D51"/>
    <mergeCell ref="B79:B80"/>
    <mergeCell ref="A72:D72"/>
    <mergeCell ref="A73:L73"/>
    <mergeCell ref="A71:D71"/>
    <mergeCell ref="B14:B18"/>
    <mergeCell ref="B33:B34"/>
    <mergeCell ref="B57:B58"/>
    <mergeCell ref="B55:B56"/>
    <mergeCell ref="B59:B60"/>
    <mergeCell ref="A52:L52"/>
    <mergeCell ref="A53:L53"/>
    <mergeCell ref="A62:D62"/>
    <mergeCell ref="A20:D20"/>
    <mergeCell ref="A21:L21"/>
    <mergeCell ref="A29:D29"/>
    <mergeCell ref="A30:D30"/>
    <mergeCell ref="B22:B23"/>
    <mergeCell ref="B27:B28"/>
    <mergeCell ref="A31:L31"/>
    <mergeCell ref="B64:B66"/>
    <mergeCell ref="A63:L63"/>
  </mergeCells>
  <printOptions horizontalCentered="1"/>
  <pageMargins left="0.39370078740157483" right="0.39370078740157483" top="0.39370078740157483" bottom="0.39370078740157483" header="0" footer="0"/>
  <pageSetup paperSize="9" scale="76" fitToHeight="5" orientation="landscape" blackAndWhite="1" r:id="rId1"/>
  <rowBreaks count="3" manualBreakCount="3">
    <brk id="26" max="11" man="1"/>
    <brk id="51" max="16383" man="1"/>
    <brk id="72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TDSheet</vt:lpstr>
      <vt:lpstr>TDSheet!Заголовки_для_печати</vt:lpstr>
      <vt:lpstr>TDSheet!Область_печати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User</dc:creator>
  <cp:keywords/>
  <dc:description/>
  <cp:lastModifiedBy>107A-2</cp:lastModifiedBy>
  <cp:lastPrinted>2026-08-27T07:24:12Z</cp:lastPrinted>
  <dcterms:created xsi:type="dcterms:W3CDTF">2023-04-05T10:45:34Z</dcterms:created>
  <dcterms:modified xsi:type="dcterms:W3CDTF">2026-08-27T07:24:23Z</dcterms:modified>
  <cp:category/>
</cp:coreProperties>
</file>